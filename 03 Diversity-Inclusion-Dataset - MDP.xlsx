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weta Sharma\Desktop\HRA\"/>
    </mc:Choice>
  </mc:AlternateContent>
  <xr:revisionPtr revIDLastSave="0" documentId="8_{6F9D6A45-F509-4903-966E-FBF7BBE71A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harma Group AG" sheetId="11" r:id="rId1"/>
    <sheet name="Sheet1" sheetId="13" r:id="rId2"/>
  </sheets>
  <definedNames>
    <definedName name="_xlnm._FilterDatabase" localSheetId="0" hidden="1">'Pharma Group AG'!$A$1:$V$1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3" l="1"/>
  <c r="C4" i="13"/>
  <c r="V381" i="11"/>
  <c r="V312" i="11"/>
  <c r="V57" i="11"/>
  <c r="V100" i="11"/>
  <c r="V443" i="11"/>
  <c r="V134" i="11"/>
  <c r="V65" i="11"/>
  <c r="V21" i="11"/>
  <c r="V474" i="11"/>
  <c r="V114" i="11"/>
  <c r="V433" i="11"/>
  <c r="V32" i="11"/>
  <c r="V495" i="11"/>
  <c r="V437" i="11"/>
  <c r="V367" i="11"/>
  <c r="V236" i="11"/>
  <c r="V318" i="11"/>
  <c r="V199" i="11"/>
  <c r="V112" i="11"/>
  <c r="V43" i="11"/>
  <c r="V321" i="11"/>
  <c r="V401" i="11"/>
  <c r="V39" i="11"/>
  <c r="V84" i="11"/>
  <c r="V26" i="11"/>
  <c r="V229" i="11"/>
  <c r="V217" i="11"/>
  <c r="V3" i="11"/>
  <c r="V485" i="11"/>
  <c r="V45" i="11"/>
  <c r="V215" i="11"/>
  <c r="V266" i="11"/>
  <c r="V49" i="11"/>
  <c r="V294" i="11"/>
  <c r="V225" i="11"/>
  <c r="V355" i="11"/>
  <c r="V119" i="11"/>
  <c r="V447" i="11"/>
  <c r="V136" i="11"/>
  <c r="V162" i="11"/>
  <c r="V342" i="11"/>
  <c r="V246" i="11"/>
  <c r="V148" i="11"/>
  <c r="V311" i="11"/>
  <c r="V423" i="11"/>
  <c r="V96" i="11"/>
  <c r="V291" i="11"/>
  <c r="V151" i="11"/>
  <c r="V344" i="11"/>
  <c r="V239" i="11"/>
  <c r="V343" i="11"/>
  <c r="V429" i="11"/>
  <c r="V231" i="11"/>
  <c r="V152" i="11"/>
  <c r="V10" i="11"/>
  <c r="V164" i="11"/>
  <c r="V178" i="11"/>
  <c r="V144" i="11"/>
  <c r="V359" i="11"/>
  <c r="V468" i="11"/>
  <c r="V303" i="11"/>
  <c r="V483" i="11"/>
  <c r="V187" i="11"/>
  <c r="V317" i="11"/>
  <c r="V222" i="11"/>
  <c r="V325" i="11"/>
  <c r="V377" i="11"/>
  <c r="V42" i="11"/>
  <c r="V101" i="11"/>
  <c r="V28" i="11"/>
  <c r="V56" i="11"/>
  <c r="V464" i="11"/>
  <c r="V4" i="11"/>
  <c r="V328" i="11"/>
  <c r="V388" i="11"/>
  <c r="V368" i="11"/>
  <c r="V180" i="11"/>
  <c r="V102" i="11"/>
  <c r="V462" i="11"/>
  <c r="V360" i="11"/>
  <c r="V105" i="11"/>
  <c r="V173" i="11"/>
  <c r="V350" i="11"/>
  <c r="V346" i="11"/>
  <c r="V78" i="11"/>
  <c r="V200" i="11"/>
  <c r="V35" i="11"/>
  <c r="V501" i="11"/>
  <c r="V271" i="11"/>
  <c r="V489" i="11"/>
  <c r="V425" i="11"/>
  <c r="V384" i="11"/>
  <c r="V125" i="11"/>
  <c r="V223" i="11"/>
  <c r="V309" i="11"/>
  <c r="V24" i="11"/>
  <c r="V442" i="11"/>
  <c r="V94" i="11"/>
  <c r="V363" i="11"/>
  <c r="V76" i="11"/>
  <c r="V477" i="11"/>
  <c r="V463" i="11"/>
  <c r="V233" i="11"/>
  <c r="V336" i="11"/>
  <c r="V405" i="11"/>
  <c r="V397" i="11"/>
  <c r="V329" i="11"/>
  <c r="V290" i="11"/>
  <c r="V175" i="11"/>
  <c r="V305" i="11"/>
  <c r="V458" i="11"/>
  <c r="V332" i="11"/>
  <c r="V66" i="11"/>
  <c r="V182" i="11"/>
  <c r="V354" i="11"/>
  <c r="V492" i="11"/>
  <c r="V166" i="11"/>
  <c r="V371" i="11"/>
  <c r="V8" i="11"/>
  <c r="V241" i="11"/>
  <c r="V380" i="11"/>
  <c r="V364" i="11"/>
  <c r="V481" i="11"/>
  <c r="V268" i="11"/>
  <c r="V87" i="11"/>
  <c r="V403" i="11"/>
  <c r="V197" i="11"/>
  <c r="V51" i="11"/>
  <c r="V140" i="11"/>
  <c r="V90" i="11"/>
  <c r="V209" i="11"/>
  <c r="V121" i="11"/>
  <c r="V292" i="11"/>
  <c r="V13" i="11"/>
  <c r="V270" i="11"/>
  <c r="V408" i="11"/>
  <c r="V230" i="11"/>
  <c r="V5" i="11"/>
  <c r="V358" i="11"/>
  <c r="V224" i="11"/>
  <c r="V487" i="11"/>
  <c r="V452" i="11"/>
  <c r="V436" i="11"/>
  <c r="V455" i="11"/>
  <c r="V253" i="11"/>
  <c r="V370" i="11"/>
  <c r="V219" i="11"/>
  <c r="V156" i="11"/>
  <c r="V260" i="11"/>
  <c r="V288" i="11"/>
  <c r="V71" i="11"/>
  <c r="V52" i="11"/>
  <c r="V466" i="11"/>
  <c r="V195" i="11"/>
  <c r="V103" i="11"/>
  <c r="V453" i="11"/>
  <c r="V95" i="11"/>
  <c r="V398" i="11"/>
  <c r="V193" i="11"/>
  <c r="V238" i="11"/>
  <c r="V476" i="11"/>
  <c r="V33" i="11"/>
  <c r="V307" i="11"/>
  <c r="V184" i="11"/>
  <c r="V471" i="11"/>
  <c r="V394" i="11"/>
  <c r="V68" i="11"/>
  <c r="V500" i="11"/>
  <c r="V393" i="11"/>
  <c r="V375" i="11"/>
  <c r="V190" i="11"/>
  <c r="V427" i="11"/>
  <c r="V111" i="11"/>
  <c r="V232" i="11"/>
  <c r="V486" i="11"/>
  <c r="V176" i="11"/>
  <c r="V302" i="11"/>
  <c r="V206" i="11"/>
  <c r="V74" i="11"/>
  <c r="V469" i="11"/>
  <c r="V287" i="11"/>
  <c r="V135" i="11"/>
  <c r="V430" i="11"/>
  <c r="V415" i="11"/>
  <c r="V324" i="11"/>
  <c r="V306" i="11"/>
  <c r="V351" i="11"/>
  <c r="V314" i="11"/>
  <c r="V183" i="11"/>
  <c r="V335" i="11"/>
  <c r="V382" i="11"/>
  <c r="V86" i="11"/>
  <c r="V62" i="11"/>
  <c r="V416" i="11"/>
  <c r="V273" i="11"/>
  <c r="V212" i="11"/>
  <c r="V348" i="11"/>
  <c r="V9" i="11"/>
  <c r="V263" i="11"/>
  <c r="V226" i="11"/>
  <c r="V252" i="11"/>
  <c r="V392" i="11"/>
  <c r="V6" i="11"/>
  <c r="V310" i="11"/>
  <c r="V208" i="11"/>
  <c r="V296" i="11"/>
  <c r="V499" i="11"/>
  <c r="V456" i="11"/>
  <c r="V438" i="11"/>
  <c r="V240" i="11"/>
  <c r="V81" i="11"/>
  <c r="V207" i="11"/>
  <c r="V109" i="11"/>
  <c r="V203" i="11"/>
  <c r="V12" i="11"/>
  <c r="V163" i="11"/>
  <c r="V424" i="11"/>
  <c r="V40" i="11"/>
  <c r="V220" i="11"/>
  <c r="V390" i="11"/>
  <c r="V399" i="11"/>
  <c r="V282" i="11"/>
  <c r="V186" i="11"/>
  <c r="V165" i="11"/>
  <c r="V213" i="11"/>
  <c r="V465" i="11"/>
  <c r="V385" i="11"/>
  <c r="V19" i="11"/>
  <c r="V264" i="11"/>
  <c r="V54" i="11"/>
  <c r="V177" i="11"/>
  <c r="V99" i="11"/>
  <c r="V115" i="11"/>
  <c r="V349" i="11"/>
  <c r="V293" i="11"/>
  <c r="V227" i="11"/>
  <c r="V419" i="11"/>
  <c r="V491" i="11"/>
  <c r="V330" i="11"/>
  <c r="V64" i="11"/>
  <c r="V411" i="11"/>
  <c r="V428" i="11"/>
  <c r="V38" i="11"/>
  <c r="V347" i="11"/>
  <c r="V337" i="11"/>
  <c r="V211" i="11"/>
  <c r="V91" i="11"/>
  <c r="V132" i="11"/>
  <c r="V53" i="11"/>
  <c r="V168" i="11"/>
  <c r="V237" i="11"/>
  <c r="V454" i="11"/>
  <c r="V41" i="11"/>
  <c r="V435" i="11"/>
  <c r="V322" i="11"/>
  <c r="V89" i="11"/>
  <c r="V265" i="11"/>
  <c r="V410" i="11"/>
  <c r="V210" i="11"/>
  <c r="V138" i="11"/>
  <c r="V128" i="11"/>
  <c r="V228" i="11"/>
  <c r="V389" i="11"/>
  <c r="V331" i="11"/>
  <c r="V434" i="11"/>
  <c r="V244" i="11"/>
  <c r="V188" i="11"/>
  <c r="V110" i="11"/>
  <c r="V153" i="11"/>
  <c r="V315" i="11"/>
  <c r="V449" i="11"/>
  <c r="V31" i="11"/>
  <c r="V97" i="11"/>
  <c r="V29" i="11"/>
  <c r="V72" i="11"/>
  <c r="V48" i="11"/>
  <c r="V440" i="11"/>
  <c r="V181" i="11"/>
  <c r="V93" i="11"/>
  <c r="V280" i="11"/>
  <c r="V445" i="11"/>
  <c r="V234" i="11"/>
  <c r="V130" i="11"/>
  <c r="V369" i="11"/>
  <c r="V116" i="11"/>
  <c r="V475" i="11"/>
  <c r="V286" i="11"/>
  <c r="V277" i="11"/>
  <c r="V172" i="11"/>
  <c r="V247" i="11"/>
  <c r="V127" i="11"/>
  <c r="V23" i="11"/>
  <c r="V400" i="11"/>
  <c r="V482" i="11"/>
  <c r="V18" i="11"/>
  <c r="V37" i="11"/>
  <c r="V480" i="11"/>
  <c r="V46" i="11"/>
  <c r="V319" i="11"/>
  <c r="V373" i="11"/>
  <c r="V20" i="11"/>
  <c r="V406" i="11"/>
  <c r="V362" i="11"/>
  <c r="V275" i="11"/>
  <c r="V488" i="11"/>
  <c r="V59" i="11"/>
  <c r="V333" i="11"/>
  <c r="V426" i="11"/>
  <c r="V58" i="11"/>
  <c r="V216" i="11"/>
  <c r="V417" i="11"/>
  <c r="V204" i="11"/>
  <c r="V170" i="11"/>
  <c r="V250" i="11"/>
  <c r="V221" i="11"/>
  <c r="V258" i="11"/>
  <c r="V283" i="11"/>
  <c r="V218" i="11"/>
  <c r="V83" i="11"/>
  <c r="V158" i="11"/>
  <c r="V85" i="11"/>
  <c r="V493" i="11"/>
  <c r="V391" i="11"/>
  <c r="V214" i="11"/>
  <c r="V36" i="11"/>
  <c r="V279" i="11"/>
  <c r="V446" i="11"/>
  <c r="V248" i="11"/>
  <c r="V34" i="11"/>
  <c r="V340" i="11"/>
  <c r="V316" i="11"/>
  <c r="V418" i="11"/>
  <c r="V174" i="11"/>
  <c r="V372" i="11"/>
  <c r="V235" i="11"/>
  <c r="V431" i="11"/>
  <c r="V75" i="11"/>
  <c r="V412" i="11"/>
  <c r="V107" i="11"/>
  <c r="V61" i="11"/>
  <c r="V27" i="11"/>
  <c r="V300" i="11"/>
  <c r="V289" i="11"/>
  <c r="V422" i="11"/>
  <c r="V150" i="11"/>
  <c r="V122" i="11"/>
  <c r="V441" i="11"/>
  <c r="V131" i="11"/>
  <c r="V366" i="11"/>
  <c r="V185" i="11"/>
  <c r="V461" i="11"/>
  <c r="V439" i="11"/>
  <c r="V407" i="11"/>
  <c r="V146" i="11"/>
  <c r="V120" i="11"/>
  <c r="V242" i="11"/>
  <c r="V365" i="11"/>
  <c r="V11" i="11"/>
  <c r="V421" i="11"/>
  <c r="V202" i="11"/>
  <c r="V249" i="11"/>
  <c r="V7" i="11"/>
  <c r="V77" i="11"/>
  <c r="V25" i="11"/>
  <c r="V467" i="11"/>
  <c r="V191" i="11"/>
  <c r="V281" i="11"/>
  <c r="V383" i="11"/>
  <c r="V297" i="11"/>
  <c r="V409" i="11"/>
  <c r="V450" i="11"/>
  <c r="V73" i="11"/>
  <c r="V147" i="11"/>
  <c r="V88" i="11"/>
  <c r="V262" i="11"/>
  <c r="V420" i="11"/>
  <c r="V339" i="11"/>
  <c r="V301" i="11"/>
  <c r="V378" i="11"/>
  <c r="V198" i="11"/>
  <c r="V357" i="11"/>
  <c r="V338" i="11"/>
  <c r="V313" i="11"/>
  <c r="V496" i="11"/>
  <c r="V149" i="11"/>
  <c r="V60" i="11"/>
  <c r="V106" i="11"/>
  <c r="V159" i="11"/>
  <c r="V254" i="11"/>
  <c r="V192" i="11"/>
  <c r="V413" i="11"/>
  <c r="V142" i="11"/>
  <c r="V50" i="11"/>
  <c r="V154" i="11"/>
  <c r="V17" i="11"/>
  <c r="V396" i="11"/>
  <c r="V387" i="11"/>
  <c r="V284" i="11"/>
  <c r="V82" i="11"/>
  <c r="V267" i="11"/>
  <c r="V304" i="11"/>
  <c r="V30" i="11"/>
  <c r="V448" i="11"/>
  <c r="V55" i="11"/>
  <c r="V161" i="11"/>
  <c r="V459" i="11"/>
  <c r="V47" i="11"/>
  <c r="V272" i="11"/>
  <c r="V117" i="11"/>
  <c r="V79" i="11"/>
  <c r="V473" i="11"/>
  <c r="V201" i="11"/>
  <c r="V2" i="11"/>
  <c r="V69" i="11"/>
  <c r="V259" i="11"/>
  <c r="V255" i="11"/>
  <c r="V16" i="11"/>
  <c r="V276" i="11"/>
  <c r="V299" i="11"/>
  <c r="V490" i="11"/>
  <c r="V143" i="11"/>
  <c r="V334" i="11"/>
  <c r="V157" i="11"/>
  <c r="V63" i="11"/>
  <c r="V308" i="11"/>
  <c r="V479" i="11"/>
  <c r="V257" i="11"/>
  <c r="V70" i="11"/>
  <c r="V341" i="11"/>
  <c r="V460" i="11"/>
  <c r="V484" i="11"/>
  <c r="V145" i="11"/>
  <c r="V298" i="11"/>
  <c r="V245" i="11"/>
  <c r="V352" i="11"/>
  <c r="V22" i="11"/>
  <c r="V432" i="11"/>
  <c r="V361" i="11"/>
  <c r="V167" i="11"/>
  <c r="V44" i="11"/>
  <c r="V494" i="11"/>
  <c r="V196" i="11"/>
  <c r="V402" i="11"/>
  <c r="V92" i="11"/>
  <c r="V126" i="11"/>
  <c r="V118" i="11"/>
  <c r="V123" i="11"/>
  <c r="V404" i="11"/>
  <c r="V285" i="11"/>
  <c r="V171" i="11"/>
  <c r="V295" i="11"/>
  <c r="V251" i="11"/>
  <c r="V104" i="11"/>
  <c r="V457" i="11"/>
  <c r="V379" i="11"/>
  <c r="V141" i="11"/>
  <c r="V189" i="11"/>
  <c r="V356" i="11"/>
  <c r="V414" i="11"/>
  <c r="V395" i="11"/>
  <c r="V160" i="11"/>
  <c r="V98" i="11"/>
  <c r="V108" i="11"/>
  <c r="V374" i="11"/>
  <c r="V243" i="11"/>
  <c r="V137" i="11"/>
  <c r="V323" i="11"/>
  <c r="V478" i="11"/>
  <c r="V179" i="11"/>
  <c r="V451" i="11"/>
  <c r="V326" i="11"/>
  <c r="V14" i="11"/>
  <c r="V15" i="11"/>
  <c r="V113" i="11"/>
  <c r="V169" i="11"/>
  <c r="V205" i="11"/>
  <c r="V256" i="11"/>
  <c r="V498" i="11"/>
  <c r="V129" i="11"/>
  <c r="V345" i="11"/>
  <c r="V353" i="11"/>
  <c r="V327" i="11"/>
  <c r="V320" i="11"/>
  <c r="V155" i="11"/>
  <c r="V194" i="11"/>
  <c r="V80" i="11"/>
  <c r="V386" i="11"/>
  <c r="V444" i="11"/>
  <c r="V497" i="11"/>
  <c r="V274" i="11"/>
  <c r="V470" i="11"/>
  <c r="V139" i="11"/>
  <c r="V269" i="11"/>
  <c r="V67" i="11"/>
  <c r="V472" i="11"/>
  <c r="V124" i="11"/>
  <c r="V133" i="11"/>
  <c r="V261" i="11"/>
  <c r="V278" i="11"/>
  <c r="V376" i="11"/>
  <c r="M63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M89" i="11"/>
  <c r="M90" i="11"/>
  <c r="M91" i="11"/>
  <c r="M92" i="11"/>
  <c r="M93" i="11"/>
  <c r="M94" i="11"/>
  <c r="M95" i="11"/>
  <c r="M96" i="11"/>
  <c r="M97" i="11"/>
  <c r="M98" i="11"/>
  <c r="M99" i="11"/>
  <c r="M100" i="11"/>
  <c r="M101" i="11"/>
  <c r="M102" i="11"/>
  <c r="M103" i="11"/>
  <c r="M104" i="11"/>
  <c r="M105" i="11"/>
  <c r="M106" i="11"/>
  <c r="M107" i="11"/>
  <c r="M108" i="11"/>
  <c r="M109" i="11"/>
  <c r="M110" i="11"/>
  <c r="M111" i="11"/>
  <c r="M112" i="11"/>
  <c r="M113" i="11"/>
  <c r="M114" i="11"/>
  <c r="M115" i="11"/>
  <c r="M116" i="11"/>
  <c r="M117" i="11"/>
  <c r="M118" i="11"/>
  <c r="M119" i="11"/>
  <c r="M120" i="11"/>
  <c r="M121" i="11"/>
  <c r="M122" i="11"/>
  <c r="M123" i="11"/>
  <c r="M124" i="11"/>
  <c r="M125" i="11"/>
  <c r="M126" i="11"/>
  <c r="M127" i="11"/>
  <c r="M128" i="11"/>
  <c r="M129" i="11"/>
  <c r="M130" i="11"/>
  <c r="M131" i="11"/>
  <c r="M132" i="11"/>
  <c r="M133" i="11"/>
  <c r="M134" i="11"/>
  <c r="M135" i="11"/>
  <c r="M136" i="11"/>
  <c r="M137" i="11"/>
  <c r="M138" i="11"/>
  <c r="M139" i="11"/>
  <c r="M140" i="11"/>
  <c r="M141" i="11"/>
  <c r="M142" i="11"/>
  <c r="M143" i="11"/>
  <c r="M144" i="11"/>
  <c r="M145" i="11"/>
  <c r="M146" i="11"/>
  <c r="M147" i="11"/>
  <c r="M148" i="11"/>
  <c r="M149" i="11"/>
  <c r="M150" i="11"/>
  <c r="M151" i="11"/>
  <c r="M152" i="11"/>
  <c r="M153" i="11"/>
  <c r="M154" i="11"/>
  <c r="M155" i="11"/>
  <c r="M156" i="11"/>
  <c r="M157" i="11"/>
  <c r="M158" i="11"/>
  <c r="M159" i="11"/>
  <c r="M160" i="11"/>
  <c r="M161" i="11"/>
  <c r="M162" i="11"/>
  <c r="M163" i="11"/>
  <c r="M164" i="11"/>
  <c r="M165" i="11"/>
  <c r="M166" i="11"/>
  <c r="M167" i="11"/>
  <c r="M168" i="11"/>
  <c r="M169" i="11"/>
  <c r="M170" i="11"/>
  <c r="M171" i="11"/>
  <c r="M172" i="11"/>
  <c r="M173" i="11"/>
  <c r="M174" i="11"/>
  <c r="M175" i="11"/>
  <c r="M176" i="11"/>
  <c r="M177" i="11"/>
  <c r="M178" i="11"/>
  <c r="M179" i="11"/>
  <c r="M180" i="11"/>
  <c r="M181" i="11"/>
  <c r="M182" i="11"/>
  <c r="M183" i="11"/>
  <c r="M184" i="11"/>
  <c r="M185" i="11"/>
  <c r="M186" i="11"/>
  <c r="M187" i="11"/>
  <c r="M188" i="11"/>
  <c r="M189" i="11"/>
  <c r="M190" i="11"/>
  <c r="M191" i="11"/>
  <c r="M192" i="11"/>
  <c r="M193" i="11"/>
  <c r="M194" i="11"/>
  <c r="M195" i="11"/>
  <c r="M196" i="11"/>
  <c r="M197" i="11"/>
  <c r="M198" i="11"/>
  <c r="M199" i="11"/>
  <c r="M200" i="11"/>
  <c r="M201" i="11"/>
  <c r="M202" i="11"/>
  <c r="M203" i="11"/>
  <c r="M204" i="11"/>
  <c r="M205" i="11"/>
  <c r="M206" i="11"/>
  <c r="M207" i="11"/>
  <c r="M208" i="11"/>
  <c r="M209" i="11"/>
  <c r="M210" i="11"/>
  <c r="M211" i="11"/>
  <c r="M212" i="11"/>
  <c r="M213" i="11"/>
  <c r="M214" i="11"/>
  <c r="M215" i="11"/>
  <c r="M216" i="11"/>
  <c r="M217" i="11"/>
  <c r="M218" i="11"/>
  <c r="M219" i="11"/>
  <c r="M220" i="11"/>
  <c r="M221" i="11"/>
  <c r="M222" i="11"/>
  <c r="M223" i="11"/>
  <c r="M224" i="11"/>
  <c r="M225" i="11"/>
  <c r="M226" i="11"/>
  <c r="M227" i="11"/>
  <c r="M228" i="11"/>
  <c r="M229" i="11"/>
  <c r="M230" i="11"/>
  <c r="M231" i="11"/>
  <c r="M232" i="11"/>
  <c r="M233" i="11"/>
  <c r="M234" i="11"/>
  <c r="M235" i="11"/>
  <c r="M236" i="11"/>
  <c r="M237" i="11"/>
  <c r="M238" i="11"/>
  <c r="M239" i="11"/>
  <c r="M240" i="11"/>
  <c r="M241" i="11"/>
  <c r="M242" i="11"/>
  <c r="M243" i="11"/>
  <c r="M244" i="11"/>
  <c r="M245" i="11"/>
  <c r="M246" i="11"/>
  <c r="M247" i="11"/>
  <c r="M248" i="11"/>
  <c r="M249" i="11"/>
  <c r="M250" i="11"/>
  <c r="M251" i="11"/>
  <c r="M252" i="11"/>
  <c r="M253" i="11"/>
  <c r="M254" i="11"/>
  <c r="M255" i="11"/>
  <c r="M256" i="11"/>
  <c r="M257" i="11"/>
  <c r="M258" i="11"/>
  <c r="M259" i="11"/>
  <c r="M260" i="11"/>
  <c r="M261" i="11"/>
  <c r="M262" i="11"/>
  <c r="M263" i="11"/>
  <c r="M264" i="11"/>
  <c r="M265" i="11"/>
  <c r="M266" i="11"/>
  <c r="M267" i="11"/>
  <c r="M268" i="11"/>
  <c r="M269" i="11"/>
  <c r="M270" i="11"/>
  <c r="M271" i="11"/>
  <c r="M272" i="11"/>
  <c r="M273" i="11"/>
  <c r="M274" i="11"/>
  <c r="M275" i="11"/>
  <c r="M276" i="11"/>
  <c r="M277" i="11"/>
  <c r="M278" i="11"/>
  <c r="M279" i="11"/>
  <c r="M280" i="11"/>
  <c r="M281" i="11"/>
  <c r="M282" i="11"/>
  <c r="M283" i="11"/>
  <c r="M284" i="11"/>
  <c r="M285" i="11"/>
  <c r="M286" i="11"/>
  <c r="M287" i="11"/>
  <c r="M288" i="11"/>
  <c r="M289" i="11"/>
  <c r="M290" i="11"/>
  <c r="M291" i="11"/>
  <c r="M292" i="11"/>
  <c r="M293" i="11"/>
  <c r="M294" i="11"/>
  <c r="M295" i="11"/>
  <c r="M296" i="11"/>
  <c r="M297" i="11"/>
  <c r="M298" i="11"/>
  <c r="M299" i="11"/>
  <c r="M300" i="11"/>
  <c r="M301" i="11"/>
  <c r="M302" i="11"/>
  <c r="M303" i="11"/>
  <c r="M304" i="11"/>
  <c r="M305" i="11"/>
  <c r="M306" i="11"/>
  <c r="M307" i="11"/>
  <c r="M308" i="11"/>
  <c r="M309" i="11"/>
  <c r="M310" i="11"/>
  <c r="M311" i="11"/>
  <c r="M312" i="11"/>
  <c r="M313" i="11"/>
  <c r="M314" i="11"/>
  <c r="M315" i="11"/>
  <c r="M316" i="11"/>
  <c r="M317" i="11"/>
  <c r="M318" i="11"/>
  <c r="M319" i="11"/>
  <c r="M320" i="11"/>
  <c r="M321" i="11"/>
  <c r="M322" i="11"/>
  <c r="M323" i="11"/>
  <c r="M324" i="11"/>
  <c r="M325" i="11"/>
  <c r="M326" i="11"/>
  <c r="M327" i="11"/>
  <c r="M328" i="11"/>
  <c r="M329" i="11"/>
  <c r="M330" i="11"/>
  <c r="M331" i="11"/>
  <c r="M332" i="11"/>
  <c r="M333" i="11"/>
  <c r="M334" i="11"/>
  <c r="M335" i="11"/>
  <c r="M336" i="11"/>
  <c r="M337" i="11"/>
  <c r="M338" i="11"/>
  <c r="M339" i="11"/>
  <c r="M340" i="11"/>
  <c r="M341" i="11"/>
  <c r="M342" i="11"/>
  <c r="M343" i="11"/>
  <c r="M344" i="11"/>
  <c r="M345" i="11"/>
  <c r="M346" i="11"/>
  <c r="M347" i="11"/>
  <c r="M348" i="11"/>
  <c r="M349" i="11"/>
  <c r="M350" i="11"/>
  <c r="M351" i="11"/>
  <c r="M352" i="11"/>
  <c r="M353" i="11"/>
  <c r="M354" i="11"/>
  <c r="M355" i="11"/>
  <c r="M356" i="11"/>
  <c r="M357" i="11"/>
  <c r="M358" i="11"/>
  <c r="M359" i="11"/>
  <c r="M360" i="11"/>
  <c r="M361" i="11"/>
  <c r="M362" i="11"/>
  <c r="M363" i="11"/>
  <c r="M364" i="11"/>
  <c r="M365" i="11"/>
  <c r="M366" i="11"/>
  <c r="M367" i="11"/>
  <c r="M368" i="11"/>
  <c r="M369" i="11"/>
  <c r="M370" i="11"/>
  <c r="M371" i="11"/>
  <c r="M372" i="11"/>
  <c r="M373" i="11"/>
  <c r="M374" i="11"/>
  <c r="M375" i="11"/>
  <c r="M376" i="11"/>
  <c r="M377" i="11"/>
  <c r="M378" i="11"/>
  <c r="M379" i="11"/>
  <c r="M380" i="11"/>
  <c r="M381" i="11"/>
  <c r="M382" i="11"/>
  <c r="M383" i="11"/>
  <c r="M384" i="11"/>
  <c r="M385" i="11"/>
  <c r="M386" i="11"/>
  <c r="M387" i="11"/>
  <c r="M388" i="11"/>
  <c r="M389" i="11"/>
  <c r="M390" i="11"/>
  <c r="M391" i="11"/>
  <c r="M392" i="11"/>
  <c r="M393" i="11"/>
  <c r="M394" i="11"/>
  <c r="M395" i="11"/>
  <c r="M396" i="11"/>
  <c r="M397" i="11"/>
  <c r="M398" i="11"/>
  <c r="M399" i="11"/>
  <c r="M400" i="11"/>
  <c r="M401" i="11"/>
  <c r="M402" i="11"/>
  <c r="M403" i="11"/>
  <c r="M404" i="11"/>
  <c r="M405" i="11"/>
  <c r="M406" i="11"/>
  <c r="M407" i="11"/>
  <c r="M408" i="11"/>
  <c r="M409" i="11"/>
  <c r="M410" i="11"/>
  <c r="M411" i="11"/>
  <c r="M412" i="11"/>
  <c r="M413" i="11"/>
  <c r="M414" i="11"/>
  <c r="M415" i="11"/>
  <c r="M416" i="11"/>
  <c r="M417" i="11"/>
  <c r="M418" i="11"/>
  <c r="M419" i="11"/>
  <c r="M420" i="11"/>
  <c r="M421" i="11"/>
  <c r="M422" i="11"/>
  <c r="M423" i="11"/>
  <c r="M424" i="11"/>
  <c r="M425" i="11"/>
  <c r="M426" i="11"/>
  <c r="M427" i="11"/>
  <c r="M428" i="11"/>
  <c r="M429" i="11"/>
  <c r="M430" i="11"/>
  <c r="M431" i="11"/>
  <c r="M432" i="11"/>
  <c r="M433" i="11"/>
  <c r="M434" i="11"/>
  <c r="M435" i="11"/>
  <c r="M436" i="11"/>
  <c r="M437" i="11"/>
  <c r="M438" i="11"/>
  <c r="M439" i="11"/>
  <c r="M440" i="11"/>
  <c r="M441" i="11"/>
  <c r="M442" i="11"/>
  <c r="M443" i="11"/>
  <c r="M444" i="11"/>
  <c r="M445" i="11"/>
  <c r="M446" i="11"/>
  <c r="M447" i="11"/>
  <c r="M448" i="11"/>
  <c r="M449" i="11"/>
  <c r="M450" i="11"/>
  <c r="M451" i="11"/>
  <c r="M452" i="11"/>
  <c r="M453" i="11"/>
  <c r="M454" i="11"/>
  <c r="M455" i="11"/>
  <c r="M456" i="11"/>
  <c r="M457" i="11"/>
  <c r="M458" i="11"/>
  <c r="M459" i="11"/>
  <c r="M460" i="11"/>
  <c r="M461" i="11"/>
  <c r="M462" i="11"/>
  <c r="M463" i="11"/>
  <c r="M464" i="11"/>
  <c r="M465" i="11"/>
  <c r="M466" i="11"/>
  <c r="M467" i="11"/>
  <c r="M468" i="11"/>
  <c r="M469" i="11"/>
  <c r="M470" i="11"/>
  <c r="M471" i="11"/>
  <c r="M472" i="11"/>
  <c r="M473" i="11"/>
  <c r="M474" i="11"/>
  <c r="M475" i="11"/>
  <c r="M476" i="11"/>
  <c r="M477" i="11"/>
  <c r="M478" i="11"/>
  <c r="M479" i="11"/>
  <c r="M480" i="11"/>
  <c r="M481" i="11"/>
  <c r="M482" i="11"/>
  <c r="M483" i="11"/>
  <c r="M484" i="11"/>
  <c r="M485" i="11"/>
  <c r="M486" i="11"/>
  <c r="M487" i="11"/>
  <c r="M488" i="11"/>
  <c r="M489" i="11"/>
  <c r="M490" i="11"/>
  <c r="M491" i="11"/>
  <c r="M492" i="11"/>
  <c r="M493" i="11"/>
  <c r="M494" i="11"/>
  <c r="M495" i="11"/>
  <c r="M496" i="11"/>
  <c r="M497" i="11"/>
  <c r="M498" i="11"/>
  <c r="M499" i="11"/>
  <c r="M500" i="11"/>
  <c r="M501" i="11"/>
  <c r="M2" i="11"/>
</calcChain>
</file>

<file path=xl/sharedStrings.xml><?xml version="1.0" encoding="utf-8"?>
<sst xmlns="http://schemas.openxmlformats.org/spreadsheetml/2006/main" count="6991" uniqueCount="77">
  <si>
    <t>Female</t>
  </si>
  <si>
    <t>Male</t>
  </si>
  <si>
    <t>Employee ID</t>
  </si>
  <si>
    <t>Finance</t>
  </si>
  <si>
    <t>HR</t>
  </si>
  <si>
    <t>Operations</t>
  </si>
  <si>
    <t>Internal Services</t>
  </si>
  <si>
    <t>Sales &amp; Marketing</t>
  </si>
  <si>
    <t>Strategy</t>
  </si>
  <si>
    <t>Switzerland</t>
  </si>
  <si>
    <t>Sweden</t>
  </si>
  <si>
    <t>Spain</t>
  </si>
  <si>
    <t>Romania</t>
  </si>
  <si>
    <t>Lebanon</t>
  </si>
  <si>
    <t>Japan</t>
  </si>
  <si>
    <t>Italy</t>
  </si>
  <si>
    <t>Israel</t>
  </si>
  <si>
    <t>Russia</t>
  </si>
  <si>
    <t>Greece</t>
  </si>
  <si>
    <t>Germany</t>
  </si>
  <si>
    <t>France</t>
  </si>
  <si>
    <t>Netherlands</t>
  </si>
  <si>
    <t>Denmark</t>
  </si>
  <si>
    <t>China</t>
  </si>
  <si>
    <t>Canada</t>
  </si>
  <si>
    <t>United Kingdom</t>
  </si>
  <si>
    <t>Belgium</t>
  </si>
  <si>
    <t>United States</t>
  </si>
  <si>
    <t>Austria</t>
  </si>
  <si>
    <t>Malaysia</t>
  </si>
  <si>
    <t>Portugal</t>
  </si>
  <si>
    <t>Gender</t>
  </si>
  <si>
    <t>FTE group</t>
  </si>
  <si>
    <t>Time type</t>
  </si>
  <si>
    <t>Age group</t>
  </si>
  <si>
    <t>Nationality 1</t>
  </si>
  <si>
    <t>Region group: nationality 1</t>
  </si>
  <si>
    <t>Broad region group: nationality 1</t>
  </si>
  <si>
    <t>Part Time</t>
  </si>
  <si>
    <t>Full Time</t>
  </si>
  <si>
    <t>20 to 29</t>
  </si>
  <si>
    <t>30 to 39</t>
  </si>
  <si>
    <t>40 to 49</t>
  </si>
  <si>
    <t>50 to 59</t>
  </si>
  <si>
    <t>60 to 69</t>
  </si>
  <si>
    <t>Europe</t>
  </si>
  <si>
    <t>Americas</t>
  </si>
  <si>
    <t>Asia Pacific</t>
  </si>
  <si>
    <t>Middle East</t>
  </si>
  <si>
    <t>Elsewhere</t>
  </si>
  <si>
    <t>Y</t>
  </si>
  <si>
    <t>Yes</t>
  </si>
  <si>
    <t>N</t>
  </si>
  <si>
    <t>No</t>
  </si>
  <si>
    <t>Years since last hire</t>
  </si>
  <si>
    <t>Last hire date</t>
  </si>
  <si>
    <t>6 - Junior Officer</t>
  </si>
  <si>
    <t>4 - Manager</t>
  </si>
  <si>
    <t>3 - Senior Manager</t>
  </si>
  <si>
    <t>2 - Director</t>
  </si>
  <si>
    <t>1 - Executive</t>
  </si>
  <si>
    <t>5 - Senior Officer</t>
  </si>
  <si>
    <t>Rand</t>
  </si>
  <si>
    <t>16 to 19</t>
  </si>
  <si>
    <t>Gender Distribution</t>
  </si>
  <si>
    <t>Gender Representation by Department</t>
  </si>
  <si>
    <t>Job Level</t>
  </si>
  <si>
    <t>New hire</t>
  </si>
  <si>
    <t>Performance Rating</t>
  </si>
  <si>
    <t>leaver</t>
  </si>
  <si>
    <t>In base group for turnover</t>
  </si>
  <si>
    <t>Department</t>
  </si>
  <si>
    <t>Last Department</t>
  </si>
  <si>
    <t>Time in Job Level</t>
  </si>
  <si>
    <t>Job Level before promotions</t>
  </si>
  <si>
    <t>Promotion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</si>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</sst>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name val="Arial Unicode MS"/>
    </font>
    <font>
      <sz val="10"/>
      <name val="Arial Unicode MS"/>
      <family val="2"/>
    </font>
    <font>
      <sz val="8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868561F-3720-420A-ABCE-D9B1DC5C9A3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1"/>
  <sheetViews>
    <sheetView tabSelected="1" workbookViewId="0">
      <selection activeCell="E14" sqref="E14"/>
    </sheetView>
  </sheetViews>
  <sheetFormatPr defaultRowHeight="13.2"/>
  <cols>
    <col min="1" max="1" width="11.44140625" bestFit="1" customWidth="1"/>
    <col min="2" max="2" width="8.77734375" customWidth="1"/>
    <col min="3" max="3" width="28.21875" customWidth="1"/>
    <col min="4" max="4" width="19.77734375" customWidth="1"/>
    <col min="5" max="5" width="22.77734375" customWidth="1"/>
    <col min="6" max="6" width="17.77734375" customWidth="1"/>
    <col min="7" max="7" width="28.21875" customWidth="1"/>
    <col min="8" max="8" width="26" customWidth="1"/>
    <col min="9" max="9" width="18" customWidth="1"/>
    <col min="10" max="10" width="19.77734375" customWidth="1"/>
    <col min="11" max="11" width="12.44140625" customWidth="1"/>
    <col min="12" max="12" width="16.77734375" customWidth="1"/>
    <col min="13" max="13" width="29.77734375" customWidth="1"/>
    <col min="14" max="14" width="17.21875" customWidth="1"/>
    <col min="15" max="15" width="14.77734375" customWidth="1"/>
    <col min="16" max="16" width="15.44140625" customWidth="1"/>
    <col min="17" max="17" width="12.21875" customWidth="1"/>
    <col min="18" max="18" width="25.77734375" customWidth="1"/>
    <col min="19" max="19" width="30.44140625" customWidth="1"/>
    <col min="20" max="20" width="16.77734375" customWidth="1"/>
    <col min="21" max="21" width="17.21875" bestFit="1" customWidth="1"/>
  </cols>
  <sheetData>
    <row r="1" spans="1:22">
      <c r="A1" t="s">
        <v>2</v>
      </c>
      <c r="B1" t="s">
        <v>31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32</v>
      </c>
      <c r="K1" t="s">
        <v>33</v>
      </c>
      <c r="L1" t="s">
        <v>73</v>
      </c>
      <c r="M1" t="s">
        <v>74</v>
      </c>
      <c r="N1" t="s">
        <v>75</v>
      </c>
      <c r="O1" t="s">
        <v>34</v>
      </c>
      <c r="P1" t="s">
        <v>76</v>
      </c>
      <c r="Q1" t="s">
        <v>35</v>
      </c>
      <c r="R1" t="s">
        <v>36</v>
      </c>
      <c r="S1" t="s">
        <v>37</v>
      </c>
      <c r="T1" t="s">
        <v>55</v>
      </c>
      <c r="U1" t="s">
        <v>54</v>
      </c>
      <c r="V1" t="s">
        <v>62</v>
      </c>
    </row>
    <row r="2" spans="1:22">
      <c r="A2">
        <v>1</v>
      </c>
      <c r="B2" t="s">
        <v>1</v>
      </c>
      <c r="C2" s="3" t="s">
        <v>56</v>
      </c>
      <c r="D2" t="s">
        <v>52</v>
      </c>
      <c r="E2">
        <v>2</v>
      </c>
      <c r="F2" t="s">
        <v>51</v>
      </c>
      <c r="G2" t="s">
        <v>50</v>
      </c>
      <c r="H2" t="s">
        <v>5</v>
      </c>
      <c r="I2" t="s">
        <v>5</v>
      </c>
      <c r="J2" s="1" t="s">
        <v>39</v>
      </c>
      <c r="K2" t="s">
        <v>39</v>
      </c>
      <c r="L2">
        <v>3</v>
      </c>
      <c r="M2" t="str">
        <f>IF(D2="Y","",IF(N2="Y",INDEX(#REF!,MATCH(C2,#REF!,0)),C2))</f>
        <v>6 - Junior Officer</v>
      </c>
      <c r="N2" t="s">
        <v>52</v>
      </c>
      <c r="O2" t="s">
        <v>41</v>
      </c>
      <c r="P2">
        <v>37</v>
      </c>
      <c r="Q2" t="s">
        <v>11</v>
      </c>
      <c r="R2" t="s">
        <v>45</v>
      </c>
      <c r="S2" t="s">
        <v>45</v>
      </c>
      <c r="T2" s="2">
        <v>42826</v>
      </c>
      <c r="U2">
        <v>3</v>
      </c>
      <c r="V2">
        <f t="shared" ref="V2:V65" ca="1" si="0">RAND()</f>
        <v>9.7438510975252468E-2</v>
      </c>
    </row>
    <row r="3" spans="1:22">
      <c r="A3">
        <v>2</v>
      </c>
      <c r="B3" t="s">
        <v>0</v>
      </c>
      <c r="C3" t="s">
        <v>57</v>
      </c>
      <c r="D3" t="s">
        <v>52</v>
      </c>
      <c r="E3">
        <v>3</v>
      </c>
      <c r="F3" t="s">
        <v>53</v>
      </c>
      <c r="G3" t="s">
        <v>50</v>
      </c>
      <c r="H3" t="s">
        <v>7</v>
      </c>
      <c r="I3" t="s">
        <v>7</v>
      </c>
      <c r="J3" s="1" t="s">
        <v>39</v>
      </c>
      <c r="K3" t="s">
        <v>39</v>
      </c>
      <c r="L3">
        <v>3</v>
      </c>
      <c r="M3" t="str">
        <f>IF(D3="Y","",IF(N3="Y",INDEX(#REF!,MATCH(C3,#REF!,0)),C3))</f>
        <v>4 - Manager</v>
      </c>
      <c r="N3" t="s">
        <v>52</v>
      </c>
      <c r="O3" t="s">
        <v>41</v>
      </c>
      <c r="P3">
        <v>37</v>
      </c>
      <c r="Q3" t="s">
        <v>19</v>
      </c>
      <c r="R3" t="s">
        <v>45</v>
      </c>
      <c r="S3" t="s">
        <v>45</v>
      </c>
      <c r="T3" s="2">
        <v>42826</v>
      </c>
      <c r="U3">
        <v>3</v>
      </c>
      <c r="V3">
        <f t="shared" ca="1" si="0"/>
        <v>0.87377249779762522</v>
      </c>
    </row>
    <row r="4" spans="1:22">
      <c r="A4">
        <v>3</v>
      </c>
      <c r="B4" t="s">
        <v>1</v>
      </c>
      <c r="C4" t="s">
        <v>59</v>
      </c>
      <c r="D4" t="s">
        <v>52</v>
      </c>
      <c r="E4">
        <v>2</v>
      </c>
      <c r="F4" t="s">
        <v>53</v>
      </c>
      <c r="G4" t="s">
        <v>50</v>
      </c>
      <c r="H4" t="s">
        <v>8</v>
      </c>
      <c r="I4" t="s">
        <v>8</v>
      </c>
      <c r="J4" s="1" t="s">
        <v>39</v>
      </c>
      <c r="K4" t="s">
        <v>39</v>
      </c>
      <c r="L4">
        <v>3</v>
      </c>
      <c r="M4" t="str">
        <f>IF(D4="Y","",IF(N4="Y",INDEX(#REF!,MATCH(C4,#REF!,0)),C4))</f>
        <v>2 - Director</v>
      </c>
      <c r="N4" t="s">
        <v>52</v>
      </c>
      <c r="O4" t="s">
        <v>41</v>
      </c>
      <c r="P4">
        <v>35</v>
      </c>
      <c r="Q4" t="s">
        <v>9</v>
      </c>
      <c r="R4" t="s">
        <v>9</v>
      </c>
      <c r="S4" t="s">
        <v>9</v>
      </c>
      <c r="T4" s="2">
        <v>42095</v>
      </c>
      <c r="U4">
        <v>5</v>
      </c>
      <c r="V4">
        <f t="shared" ca="1" si="0"/>
        <v>0.65119898676061139</v>
      </c>
    </row>
    <row r="5" spans="1:22">
      <c r="A5">
        <v>4</v>
      </c>
      <c r="B5" t="s">
        <v>1</v>
      </c>
      <c r="C5" t="s">
        <v>57</v>
      </c>
      <c r="D5" t="s">
        <v>52</v>
      </c>
      <c r="E5">
        <v>3</v>
      </c>
      <c r="F5" t="s">
        <v>53</v>
      </c>
      <c r="G5" t="s">
        <v>50</v>
      </c>
      <c r="H5" t="s">
        <v>4</v>
      </c>
      <c r="I5" t="s">
        <v>4</v>
      </c>
      <c r="J5" s="1" t="s">
        <v>39</v>
      </c>
      <c r="K5" t="s">
        <v>39</v>
      </c>
      <c r="L5">
        <v>3</v>
      </c>
      <c r="M5" t="str">
        <f>IF(D5="Y","",IF(N5="Y",INDEX(#REF!,MATCH(C5,#REF!,0)),C5))</f>
        <v>4 - Manager</v>
      </c>
      <c r="N5" t="s">
        <v>52</v>
      </c>
      <c r="O5" t="s">
        <v>41</v>
      </c>
      <c r="P5">
        <v>32</v>
      </c>
      <c r="Q5" t="s">
        <v>19</v>
      </c>
      <c r="R5" t="s">
        <v>45</v>
      </c>
      <c r="S5" t="s">
        <v>45</v>
      </c>
      <c r="T5" s="2">
        <v>41000</v>
      </c>
      <c r="U5">
        <v>8</v>
      </c>
      <c r="V5">
        <f t="shared" ca="1" si="0"/>
        <v>0.41092895837825372</v>
      </c>
    </row>
    <row r="6" spans="1:22">
      <c r="A6">
        <v>5</v>
      </c>
      <c r="B6" t="s">
        <v>0</v>
      </c>
      <c r="C6" t="s">
        <v>56</v>
      </c>
      <c r="D6" t="s">
        <v>52</v>
      </c>
      <c r="E6">
        <v>2</v>
      </c>
      <c r="F6" t="s">
        <v>53</v>
      </c>
      <c r="G6" t="s">
        <v>50</v>
      </c>
      <c r="H6" t="s">
        <v>7</v>
      </c>
      <c r="I6" t="s">
        <v>7</v>
      </c>
      <c r="J6" s="1" t="s">
        <v>39</v>
      </c>
      <c r="K6" t="s">
        <v>39</v>
      </c>
      <c r="L6">
        <v>1</v>
      </c>
      <c r="M6" t="str">
        <f>IF(D6="Y","",IF(N6="Y",INDEX(#REF!,MATCH(C6,#REF!,0)),C6))</f>
        <v>6 - Junior Officer</v>
      </c>
      <c r="N6" t="s">
        <v>52</v>
      </c>
      <c r="O6" t="s">
        <v>40</v>
      </c>
      <c r="P6">
        <v>28</v>
      </c>
      <c r="Q6" t="s">
        <v>9</v>
      </c>
      <c r="R6" t="s">
        <v>9</v>
      </c>
      <c r="S6" t="s">
        <v>9</v>
      </c>
      <c r="T6" s="2">
        <v>43556</v>
      </c>
      <c r="U6">
        <v>1</v>
      </c>
      <c r="V6">
        <f t="shared" ca="1" si="0"/>
        <v>0.51379262182552343</v>
      </c>
    </row>
    <row r="7" spans="1:22">
      <c r="A7">
        <v>6</v>
      </c>
      <c r="B7" t="s">
        <v>0</v>
      </c>
      <c r="C7" t="s">
        <v>57</v>
      </c>
      <c r="D7" t="s">
        <v>50</v>
      </c>
      <c r="F7" t="s">
        <v>53</v>
      </c>
      <c r="G7" t="s">
        <v>52</v>
      </c>
      <c r="H7" t="s">
        <v>6</v>
      </c>
      <c r="I7" t="s">
        <v>6</v>
      </c>
      <c r="J7" s="1" t="s">
        <v>39</v>
      </c>
      <c r="K7" t="s">
        <v>39</v>
      </c>
      <c r="L7">
        <v>0</v>
      </c>
      <c r="M7" t="str">
        <f>IF(D7="Y","",IF(N7="Y",INDEX(#REF!,MATCH(C7,#REF!,0)),C7))</f>
        <v/>
      </c>
      <c r="N7" t="s">
        <v>52</v>
      </c>
      <c r="O7" t="s">
        <v>42</v>
      </c>
      <c r="P7">
        <v>42</v>
      </c>
      <c r="Q7" t="s">
        <v>15</v>
      </c>
      <c r="R7" t="s">
        <v>45</v>
      </c>
      <c r="S7" t="s">
        <v>45</v>
      </c>
      <c r="T7" s="2">
        <v>43922</v>
      </c>
      <c r="U7">
        <v>0</v>
      </c>
      <c r="V7">
        <f t="shared" ca="1" si="0"/>
        <v>0.76756862461085051</v>
      </c>
    </row>
    <row r="8" spans="1:22">
      <c r="A8">
        <v>7</v>
      </c>
      <c r="B8" t="s">
        <v>1</v>
      </c>
      <c r="C8" t="s">
        <v>58</v>
      </c>
      <c r="D8" t="s">
        <v>50</v>
      </c>
      <c r="F8" t="s">
        <v>53</v>
      </c>
      <c r="G8" t="s">
        <v>52</v>
      </c>
      <c r="H8" t="s">
        <v>5</v>
      </c>
      <c r="I8" t="s">
        <v>5</v>
      </c>
      <c r="J8" s="1" t="s">
        <v>39</v>
      </c>
      <c r="K8" t="s">
        <v>39</v>
      </c>
      <c r="L8">
        <v>0</v>
      </c>
      <c r="M8" t="str">
        <f>IF(D8="Y","",IF(N8="Y",INDEX(#REF!,MATCH(C8,#REF!,0)),C8))</f>
        <v/>
      </c>
      <c r="N8" t="s">
        <v>52</v>
      </c>
      <c r="O8" t="s">
        <v>41</v>
      </c>
      <c r="P8">
        <v>35</v>
      </c>
      <c r="Q8" t="s">
        <v>15</v>
      </c>
      <c r="R8" t="s">
        <v>45</v>
      </c>
      <c r="S8" t="s">
        <v>45</v>
      </c>
      <c r="T8" s="2">
        <v>43922</v>
      </c>
      <c r="U8">
        <v>0</v>
      </c>
      <c r="V8">
        <f t="shared" ca="1" si="0"/>
        <v>0.85792280871349047</v>
      </c>
    </row>
    <row r="9" spans="1:22">
      <c r="A9">
        <v>8</v>
      </c>
      <c r="B9" t="s">
        <v>0</v>
      </c>
      <c r="C9" t="s">
        <v>61</v>
      </c>
      <c r="D9" t="s">
        <v>52</v>
      </c>
      <c r="E9">
        <v>2</v>
      </c>
      <c r="F9" t="s">
        <v>53</v>
      </c>
      <c r="G9" t="s">
        <v>50</v>
      </c>
      <c r="H9" t="s">
        <v>4</v>
      </c>
      <c r="I9" t="s">
        <v>4</v>
      </c>
      <c r="J9" s="1" t="s">
        <v>39</v>
      </c>
      <c r="K9" t="s">
        <v>39</v>
      </c>
      <c r="L9">
        <v>3</v>
      </c>
      <c r="M9" t="str">
        <f>IF(D9="Y","",IF(N9="Y",INDEX(#REF!,MATCH(C9,#REF!,0)),C9))</f>
        <v>5 - Senior Officer</v>
      </c>
      <c r="N9" t="s">
        <v>52</v>
      </c>
      <c r="O9" t="s">
        <v>41</v>
      </c>
      <c r="P9">
        <v>34</v>
      </c>
      <c r="Q9" t="s">
        <v>9</v>
      </c>
      <c r="R9" t="s">
        <v>9</v>
      </c>
      <c r="S9" t="s">
        <v>9</v>
      </c>
      <c r="T9" s="2">
        <v>41365</v>
      </c>
      <c r="U9">
        <v>7</v>
      </c>
      <c r="V9">
        <f t="shared" ca="1" si="0"/>
        <v>0.77832996003908772</v>
      </c>
    </row>
    <row r="10" spans="1:22">
      <c r="A10">
        <v>9</v>
      </c>
      <c r="B10" t="s">
        <v>0</v>
      </c>
      <c r="C10" t="s">
        <v>56</v>
      </c>
      <c r="D10" t="s">
        <v>52</v>
      </c>
      <c r="E10">
        <v>3</v>
      </c>
      <c r="F10" t="s">
        <v>53</v>
      </c>
      <c r="G10" t="s">
        <v>50</v>
      </c>
      <c r="H10" t="s">
        <v>7</v>
      </c>
      <c r="I10" t="s">
        <v>7</v>
      </c>
      <c r="J10" s="1" t="s">
        <v>39</v>
      </c>
      <c r="K10" t="s">
        <v>39</v>
      </c>
      <c r="L10">
        <v>1</v>
      </c>
      <c r="M10" t="str">
        <f>IF(D10="Y","",IF(N10="Y",INDEX(#REF!,MATCH(C10,#REF!,0)),C10))</f>
        <v>6 - Junior Officer</v>
      </c>
      <c r="N10" t="s">
        <v>52</v>
      </c>
      <c r="O10" t="s">
        <v>40</v>
      </c>
      <c r="P10">
        <v>26</v>
      </c>
      <c r="Q10" t="s">
        <v>27</v>
      </c>
      <c r="R10" t="s">
        <v>46</v>
      </c>
      <c r="S10" t="s">
        <v>49</v>
      </c>
      <c r="T10" s="2">
        <v>43556</v>
      </c>
      <c r="U10">
        <v>1</v>
      </c>
      <c r="V10">
        <f t="shared" ca="1" si="0"/>
        <v>0.40450903726843368</v>
      </c>
    </row>
    <row r="11" spans="1:22">
      <c r="A11">
        <v>10</v>
      </c>
      <c r="B11" t="s">
        <v>1</v>
      </c>
      <c r="C11" t="s">
        <v>56</v>
      </c>
      <c r="D11" t="s">
        <v>52</v>
      </c>
      <c r="E11">
        <v>3</v>
      </c>
      <c r="F11" t="s">
        <v>53</v>
      </c>
      <c r="G11" t="s">
        <v>50</v>
      </c>
      <c r="H11" t="s">
        <v>6</v>
      </c>
      <c r="I11" t="s">
        <v>6</v>
      </c>
      <c r="J11" s="1" t="s">
        <v>39</v>
      </c>
      <c r="K11" t="s">
        <v>39</v>
      </c>
      <c r="L11">
        <v>2</v>
      </c>
      <c r="M11" t="str">
        <f>IF(D11="Y","",IF(N11="Y",INDEX(#REF!,MATCH(C11,#REF!,0)),C11))</f>
        <v>6 - Junior Officer</v>
      </c>
      <c r="N11" t="s">
        <v>52</v>
      </c>
      <c r="O11" t="s">
        <v>40</v>
      </c>
      <c r="P11">
        <v>24</v>
      </c>
      <c r="Q11" t="s">
        <v>9</v>
      </c>
      <c r="R11" t="s">
        <v>9</v>
      </c>
      <c r="S11" t="s">
        <v>9</v>
      </c>
      <c r="T11" s="2">
        <v>43191</v>
      </c>
      <c r="U11">
        <v>2</v>
      </c>
      <c r="V11">
        <f t="shared" ca="1" si="0"/>
        <v>0.93528938602724976</v>
      </c>
    </row>
    <row r="12" spans="1:22">
      <c r="A12">
        <v>11</v>
      </c>
      <c r="B12" t="s">
        <v>1</v>
      </c>
      <c r="C12" t="s">
        <v>57</v>
      </c>
      <c r="D12" t="s">
        <v>52</v>
      </c>
      <c r="E12">
        <v>3</v>
      </c>
      <c r="F12" t="s">
        <v>53</v>
      </c>
      <c r="G12" t="s">
        <v>50</v>
      </c>
      <c r="H12" t="s">
        <v>5</v>
      </c>
      <c r="I12" t="s">
        <v>5</v>
      </c>
      <c r="J12" s="1" t="s">
        <v>39</v>
      </c>
      <c r="K12" t="s">
        <v>39</v>
      </c>
      <c r="L12">
        <v>2</v>
      </c>
      <c r="M12" t="str">
        <f>IF(D12="Y","",IF(N12="Y",INDEX(#REF!,MATCH(C12,#REF!,0)),C12))</f>
        <v>4 - Manager</v>
      </c>
      <c r="N12" t="s">
        <v>52</v>
      </c>
      <c r="O12" t="s">
        <v>41</v>
      </c>
      <c r="P12">
        <v>34</v>
      </c>
      <c r="Q12" t="s">
        <v>9</v>
      </c>
      <c r="R12" t="s">
        <v>9</v>
      </c>
      <c r="S12" t="s">
        <v>9</v>
      </c>
      <c r="T12" s="2">
        <v>40634</v>
      </c>
      <c r="U12">
        <v>9</v>
      </c>
      <c r="V12">
        <f t="shared" ca="1" si="0"/>
        <v>0.43098563516052302</v>
      </c>
    </row>
    <row r="13" spans="1:22">
      <c r="A13">
        <v>12</v>
      </c>
      <c r="B13" t="s">
        <v>0</v>
      </c>
      <c r="C13" t="s">
        <v>56</v>
      </c>
      <c r="D13" t="s">
        <v>52</v>
      </c>
      <c r="E13">
        <v>2</v>
      </c>
      <c r="F13" t="s">
        <v>53</v>
      </c>
      <c r="G13" t="s">
        <v>50</v>
      </c>
      <c r="H13" t="s">
        <v>8</v>
      </c>
      <c r="I13" t="s">
        <v>8</v>
      </c>
      <c r="J13" s="1" t="s">
        <v>39</v>
      </c>
      <c r="K13" t="s">
        <v>39</v>
      </c>
      <c r="L13">
        <v>3</v>
      </c>
      <c r="M13" t="str">
        <f>IF(D13="Y","",IF(N13="Y",INDEX(#REF!,MATCH(C13,#REF!,0)),C13))</f>
        <v>6 - Junior Officer</v>
      </c>
      <c r="N13" t="s">
        <v>52</v>
      </c>
      <c r="O13" t="s">
        <v>41</v>
      </c>
      <c r="P13">
        <v>34</v>
      </c>
      <c r="Q13" t="s">
        <v>20</v>
      </c>
      <c r="R13" t="s">
        <v>45</v>
      </c>
      <c r="S13" t="s">
        <v>45</v>
      </c>
      <c r="T13" s="2">
        <v>42826</v>
      </c>
      <c r="U13">
        <v>3</v>
      </c>
      <c r="V13">
        <f t="shared" ca="1" si="0"/>
        <v>0.21054458877829252</v>
      </c>
    </row>
    <row r="14" spans="1:22">
      <c r="A14">
        <v>13</v>
      </c>
      <c r="B14" t="s">
        <v>1</v>
      </c>
      <c r="C14" t="s">
        <v>61</v>
      </c>
      <c r="D14" t="s">
        <v>52</v>
      </c>
      <c r="E14">
        <v>2</v>
      </c>
      <c r="F14" t="s">
        <v>53</v>
      </c>
      <c r="G14" t="s">
        <v>50</v>
      </c>
      <c r="H14" t="s">
        <v>5</v>
      </c>
      <c r="I14" t="s">
        <v>5</v>
      </c>
      <c r="J14" s="1" t="s">
        <v>39</v>
      </c>
      <c r="K14" t="s">
        <v>39</v>
      </c>
      <c r="L14">
        <v>3</v>
      </c>
      <c r="M14" t="str">
        <f>IF(D14="Y","",IF(N14="Y",INDEX(#REF!,MATCH(C14,#REF!,0)),C14))</f>
        <v>5 - Senior Officer</v>
      </c>
      <c r="N14" t="s">
        <v>52</v>
      </c>
      <c r="O14" t="s">
        <v>40</v>
      </c>
      <c r="P14">
        <v>29</v>
      </c>
      <c r="Q14" t="s">
        <v>19</v>
      </c>
      <c r="R14" t="s">
        <v>45</v>
      </c>
      <c r="S14" t="s">
        <v>45</v>
      </c>
      <c r="T14" s="2">
        <v>42095</v>
      </c>
      <c r="U14">
        <v>5</v>
      </c>
      <c r="V14">
        <f t="shared" ca="1" si="0"/>
        <v>8.1542333102052278E-2</v>
      </c>
    </row>
    <row r="15" spans="1:22">
      <c r="A15">
        <v>14</v>
      </c>
      <c r="B15" t="s">
        <v>1</v>
      </c>
      <c r="C15" t="s">
        <v>56</v>
      </c>
      <c r="D15" t="s">
        <v>52</v>
      </c>
      <c r="E15">
        <v>2</v>
      </c>
      <c r="F15" t="s">
        <v>53</v>
      </c>
      <c r="G15" t="s">
        <v>50</v>
      </c>
      <c r="H15" t="s">
        <v>5</v>
      </c>
      <c r="I15" t="s">
        <v>5</v>
      </c>
      <c r="J15" s="1" t="s">
        <v>39</v>
      </c>
      <c r="K15" t="s">
        <v>39</v>
      </c>
      <c r="L15">
        <v>3</v>
      </c>
      <c r="M15" t="str">
        <f>IF(D15="Y","",IF(N15="Y",INDEX(#REF!,MATCH(C15,#REF!,0)),C15))</f>
        <v>6 - Junior Officer</v>
      </c>
      <c r="N15" t="s">
        <v>52</v>
      </c>
      <c r="O15" t="s">
        <v>40</v>
      </c>
      <c r="P15">
        <v>20</v>
      </c>
      <c r="Q15" t="s">
        <v>9</v>
      </c>
      <c r="R15" t="s">
        <v>9</v>
      </c>
      <c r="S15" t="s">
        <v>9</v>
      </c>
      <c r="T15" s="2">
        <v>42826</v>
      </c>
      <c r="U15">
        <v>3</v>
      </c>
      <c r="V15">
        <f t="shared" ca="1" si="0"/>
        <v>0.62677698943614713</v>
      </c>
    </row>
    <row r="16" spans="1:22">
      <c r="A16">
        <v>15</v>
      </c>
      <c r="B16" t="s">
        <v>1</v>
      </c>
      <c r="C16" s="3" t="s">
        <v>56</v>
      </c>
      <c r="D16" t="s">
        <v>52</v>
      </c>
      <c r="E16">
        <v>3</v>
      </c>
      <c r="F16" t="s">
        <v>51</v>
      </c>
      <c r="G16" t="s">
        <v>50</v>
      </c>
      <c r="H16" t="s">
        <v>6</v>
      </c>
      <c r="I16" t="s">
        <v>6</v>
      </c>
      <c r="J16" s="1" t="s">
        <v>39</v>
      </c>
      <c r="K16" t="s">
        <v>39</v>
      </c>
      <c r="L16">
        <v>1</v>
      </c>
      <c r="M16" t="str">
        <f>IF(D16="Y","",IF(N16="Y",INDEX(#REF!,MATCH(C16,#REF!,0)),C16))</f>
        <v>6 - Junior Officer</v>
      </c>
      <c r="N16" t="s">
        <v>52</v>
      </c>
      <c r="O16" t="s">
        <v>40</v>
      </c>
      <c r="P16">
        <v>28</v>
      </c>
      <c r="Q16" t="s">
        <v>20</v>
      </c>
      <c r="R16" t="s">
        <v>45</v>
      </c>
      <c r="S16" t="s">
        <v>45</v>
      </c>
      <c r="T16" s="2">
        <v>43556</v>
      </c>
      <c r="U16">
        <v>1</v>
      </c>
      <c r="V16">
        <f t="shared" ca="1" si="0"/>
        <v>3.36788799368406E-2</v>
      </c>
    </row>
    <row r="17" spans="1:22">
      <c r="A17">
        <v>16</v>
      </c>
      <c r="B17" t="s">
        <v>1</v>
      </c>
      <c r="C17" t="s">
        <v>57</v>
      </c>
      <c r="D17" t="s">
        <v>52</v>
      </c>
      <c r="E17">
        <v>3</v>
      </c>
      <c r="F17" t="s">
        <v>53</v>
      </c>
      <c r="G17" t="s">
        <v>50</v>
      </c>
      <c r="H17" t="s">
        <v>8</v>
      </c>
      <c r="I17" t="s">
        <v>8</v>
      </c>
      <c r="J17" s="1" t="s">
        <v>39</v>
      </c>
      <c r="K17" t="s">
        <v>39</v>
      </c>
      <c r="L17">
        <v>3</v>
      </c>
      <c r="M17" t="str">
        <f>IF(D17="Y","",IF(N17="Y",INDEX(#REF!,MATCH(C17,#REF!,0)),C17))</f>
        <v>4 - Manager</v>
      </c>
      <c r="N17" t="s">
        <v>52</v>
      </c>
      <c r="O17" t="s">
        <v>41</v>
      </c>
      <c r="P17">
        <v>34</v>
      </c>
      <c r="Q17" t="s">
        <v>19</v>
      </c>
      <c r="R17" t="s">
        <v>45</v>
      </c>
      <c r="S17" t="s">
        <v>45</v>
      </c>
      <c r="T17" s="2">
        <v>42095</v>
      </c>
      <c r="U17">
        <v>5</v>
      </c>
      <c r="V17">
        <f t="shared" ca="1" si="0"/>
        <v>4.2210558285395661E-2</v>
      </c>
    </row>
    <row r="18" spans="1:22">
      <c r="A18">
        <v>17</v>
      </c>
      <c r="B18" t="s">
        <v>1</v>
      </c>
      <c r="C18" t="s">
        <v>56</v>
      </c>
      <c r="D18" t="s">
        <v>52</v>
      </c>
      <c r="E18">
        <v>3</v>
      </c>
      <c r="F18" t="s">
        <v>53</v>
      </c>
      <c r="G18" t="s">
        <v>50</v>
      </c>
      <c r="H18" t="s">
        <v>5</v>
      </c>
      <c r="I18" t="s">
        <v>5</v>
      </c>
      <c r="J18" s="1" t="s">
        <v>39</v>
      </c>
      <c r="K18" t="s">
        <v>39</v>
      </c>
      <c r="L18">
        <v>2</v>
      </c>
      <c r="M18" t="str">
        <f>IF(D18="Y","",IF(N18="Y",INDEX(#REF!,MATCH(C18,#REF!,0)),C18))</f>
        <v>6 - Junior Officer</v>
      </c>
      <c r="N18" t="s">
        <v>52</v>
      </c>
      <c r="O18" t="s">
        <v>40</v>
      </c>
      <c r="P18">
        <v>24</v>
      </c>
      <c r="Q18" t="s">
        <v>9</v>
      </c>
      <c r="R18" t="s">
        <v>9</v>
      </c>
      <c r="S18" t="s">
        <v>9</v>
      </c>
      <c r="T18" s="2">
        <v>43191</v>
      </c>
      <c r="U18">
        <v>2</v>
      </c>
      <c r="V18">
        <f t="shared" ca="1" si="0"/>
        <v>0.22311696758122823</v>
      </c>
    </row>
    <row r="19" spans="1:22">
      <c r="A19">
        <v>18</v>
      </c>
      <c r="B19" t="s">
        <v>0</v>
      </c>
      <c r="C19" t="s">
        <v>56</v>
      </c>
      <c r="D19" t="s">
        <v>52</v>
      </c>
      <c r="E19">
        <v>2</v>
      </c>
      <c r="F19" t="s">
        <v>53</v>
      </c>
      <c r="G19" t="s">
        <v>50</v>
      </c>
      <c r="H19" t="s">
        <v>7</v>
      </c>
      <c r="I19" t="s">
        <v>7</v>
      </c>
      <c r="J19" s="1">
        <v>0.8</v>
      </c>
      <c r="K19" t="s">
        <v>38</v>
      </c>
      <c r="L19">
        <v>4</v>
      </c>
      <c r="M19" t="str">
        <f>IF(D19="Y","",IF(N19="Y",INDEX(#REF!,MATCH(C19,#REF!,0)),C19))</f>
        <v>6 - Junior Officer</v>
      </c>
      <c r="N19" t="s">
        <v>52</v>
      </c>
      <c r="O19" t="s">
        <v>41</v>
      </c>
      <c r="P19">
        <v>32</v>
      </c>
      <c r="Q19" t="s">
        <v>15</v>
      </c>
      <c r="R19" t="s">
        <v>45</v>
      </c>
      <c r="S19" t="s">
        <v>45</v>
      </c>
      <c r="T19" s="2">
        <v>42461</v>
      </c>
      <c r="U19">
        <v>4</v>
      </c>
      <c r="V19">
        <f t="shared" ca="1" si="0"/>
        <v>0.22373082075387452</v>
      </c>
    </row>
    <row r="20" spans="1:22">
      <c r="A20">
        <v>19</v>
      </c>
      <c r="B20" t="s">
        <v>1</v>
      </c>
      <c r="C20" t="s">
        <v>61</v>
      </c>
      <c r="D20" t="s">
        <v>52</v>
      </c>
      <c r="E20">
        <v>2</v>
      </c>
      <c r="F20" t="s">
        <v>53</v>
      </c>
      <c r="G20" t="s">
        <v>50</v>
      </c>
      <c r="H20" t="s">
        <v>7</v>
      </c>
      <c r="I20" t="s">
        <v>7</v>
      </c>
      <c r="J20" s="1" t="s">
        <v>39</v>
      </c>
      <c r="K20" t="s">
        <v>39</v>
      </c>
      <c r="L20">
        <v>3</v>
      </c>
      <c r="M20" t="str">
        <f>IF(D20="Y","",IF(N20="Y",INDEX(#REF!,MATCH(C20,#REF!,0)),C20))</f>
        <v>5 - Senior Officer</v>
      </c>
      <c r="N20" t="s">
        <v>52</v>
      </c>
      <c r="O20" t="s">
        <v>41</v>
      </c>
      <c r="P20">
        <v>30</v>
      </c>
      <c r="Q20" t="s">
        <v>9</v>
      </c>
      <c r="R20" t="s">
        <v>9</v>
      </c>
      <c r="S20" t="s">
        <v>9</v>
      </c>
      <c r="T20" s="2">
        <v>42826</v>
      </c>
      <c r="U20">
        <v>3</v>
      </c>
      <c r="V20">
        <f t="shared" ca="1" si="0"/>
        <v>0.33627084190361856</v>
      </c>
    </row>
    <row r="21" spans="1:22">
      <c r="A21">
        <v>20</v>
      </c>
      <c r="B21" t="s">
        <v>0</v>
      </c>
      <c r="C21" t="s">
        <v>61</v>
      </c>
      <c r="D21" t="s">
        <v>52</v>
      </c>
      <c r="E21">
        <v>2</v>
      </c>
      <c r="F21" t="s">
        <v>53</v>
      </c>
      <c r="G21" t="s">
        <v>50</v>
      </c>
      <c r="H21" t="s">
        <v>5</v>
      </c>
      <c r="I21" t="s">
        <v>5</v>
      </c>
      <c r="J21" s="1" t="s">
        <v>39</v>
      </c>
      <c r="K21" t="s">
        <v>39</v>
      </c>
      <c r="L21">
        <v>1</v>
      </c>
      <c r="M21" t="e">
        <f>IF(D21="Y","",IF(N21="Y",INDEX(#REF!,MATCH(C21,#REF!,0)),C21))</f>
        <v>#REF!</v>
      </c>
      <c r="N21" t="s">
        <v>50</v>
      </c>
      <c r="O21" t="s">
        <v>41</v>
      </c>
      <c r="P21">
        <v>32</v>
      </c>
      <c r="Q21" t="s">
        <v>19</v>
      </c>
      <c r="R21" t="s">
        <v>45</v>
      </c>
      <c r="S21" t="s">
        <v>45</v>
      </c>
      <c r="T21" s="2">
        <v>41000</v>
      </c>
      <c r="U21">
        <v>8</v>
      </c>
      <c r="V21">
        <f t="shared" ca="1" si="0"/>
        <v>2.1195395146359708E-2</v>
      </c>
    </row>
    <row r="22" spans="1:22">
      <c r="A22">
        <v>21</v>
      </c>
      <c r="B22" t="s">
        <v>1</v>
      </c>
      <c r="C22" s="3" t="s">
        <v>58</v>
      </c>
      <c r="D22" t="s">
        <v>52</v>
      </c>
      <c r="E22">
        <v>3</v>
      </c>
      <c r="F22" t="s">
        <v>51</v>
      </c>
      <c r="G22" t="s">
        <v>50</v>
      </c>
      <c r="H22" t="s">
        <v>8</v>
      </c>
      <c r="I22" t="s">
        <v>8</v>
      </c>
      <c r="J22" s="1" t="s">
        <v>39</v>
      </c>
      <c r="K22" t="s">
        <v>39</v>
      </c>
      <c r="L22">
        <v>7</v>
      </c>
      <c r="M22" t="str">
        <f>IF(D22="Y","",IF(N22="Y",INDEX(#REF!,MATCH(C22,#REF!,0)),C22))</f>
        <v>3 - Senior Manager</v>
      </c>
      <c r="N22" t="s">
        <v>52</v>
      </c>
      <c r="O22" t="s">
        <v>41</v>
      </c>
      <c r="P22">
        <v>31</v>
      </c>
      <c r="Q22" t="s">
        <v>9</v>
      </c>
      <c r="R22" t="s">
        <v>9</v>
      </c>
      <c r="S22" t="s">
        <v>9</v>
      </c>
      <c r="T22" s="2">
        <v>41365</v>
      </c>
      <c r="U22">
        <v>7</v>
      </c>
      <c r="V22">
        <f t="shared" ca="1" si="0"/>
        <v>0.81479571486283653</v>
      </c>
    </row>
    <row r="23" spans="1:22">
      <c r="A23">
        <v>22</v>
      </c>
      <c r="B23" t="s">
        <v>1</v>
      </c>
      <c r="C23" s="3" t="s">
        <v>56</v>
      </c>
      <c r="D23" t="s">
        <v>52</v>
      </c>
      <c r="E23">
        <v>3</v>
      </c>
      <c r="F23" t="s">
        <v>51</v>
      </c>
      <c r="G23" t="s">
        <v>50</v>
      </c>
      <c r="H23" t="s">
        <v>7</v>
      </c>
      <c r="I23" t="s">
        <v>7</v>
      </c>
      <c r="J23" s="1" t="s">
        <v>39</v>
      </c>
      <c r="K23" t="s">
        <v>39</v>
      </c>
      <c r="L23">
        <v>3</v>
      </c>
      <c r="M23" t="str">
        <f>IF(D23="Y","",IF(N23="Y",INDEX(#REF!,MATCH(C23,#REF!,0)),C23))</f>
        <v>6 - Junior Officer</v>
      </c>
      <c r="N23" t="s">
        <v>52</v>
      </c>
      <c r="O23" t="s">
        <v>40</v>
      </c>
      <c r="P23">
        <v>26</v>
      </c>
      <c r="Q23" t="s">
        <v>9</v>
      </c>
      <c r="R23" t="s">
        <v>9</v>
      </c>
      <c r="S23" t="s">
        <v>9</v>
      </c>
      <c r="T23" s="2">
        <v>42826</v>
      </c>
      <c r="U23">
        <v>3</v>
      </c>
      <c r="V23">
        <f t="shared" ca="1" si="0"/>
        <v>0.52316581255621808</v>
      </c>
    </row>
    <row r="24" spans="1:22">
      <c r="A24">
        <v>23</v>
      </c>
      <c r="B24" t="s">
        <v>1</v>
      </c>
      <c r="C24" t="s">
        <v>59</v>
      </c>
      <c r="D24" t="s">
        <v>52</v>
      </c>
      <c r="E24">
        <v>3</v>
      </c>
      <c r="F24" t="s">
        <v>53</v>
      </c>
      <c r="G24" t="s">
        <v>50</v>
      </c>
      <c r="H24" t="s">
        <v>6</v>
      </c>
      <c r="I24" t="s">
        <v>6</v>
      </c>
      <c r="J24" s="1" t="s">
        <v>39</v>
      </c>
      <c r="K24" t="s">
        <v>39</v>
      </c>
      <c r="L24">
        <v>5</v>
      </c>
      <c r="M24" t="str">
        <f>IF(D24="Y","",IF(N24="Y",INDEX(#REF!,MATCH(C24,#REF!,0)),C24))</f>
        <v>2 - Director</v>
      </c>
      <c r="N24" t="s">
        <v>52</v>
      </c>
      <c r="O24" t="s">
        <v>42</v>
      </c>
      <c r="P24">
        <v>44</v>
      </c>
      <c r="Q24" t="s">
        <v>9</v>
      </c>
      <c r="R24" t="s">
        <v>9</v>
      </c>
      <c r="S24" t="s">
        <v>9</v>
      </c>
      <c r="T24" s="2">
        <v>42095</v>
      </c>
      <c r="U24">
        <v>5</v>
      </c>
      <c r="V24">
        <f t="shared" ca="1" si="0"/>
        <v>0.3266548906676594</v>
      </c>
    </row>
    <row r="25" spans="1:22">
      <c r="A25">
        <v>24</v>
      </c>
      <c r="B25" t="s">
        <v>1</v>
      </c>
      <c r="C25" t="s">
        <v>61</v>
      </c>
      <c r="D25" t="s">
        <v>52</v>
      </c>
      <c r="E25">
        <v>4</v>
      </c>
      <c r="F25" t="s">
        <v>53</v>
      </c>
      <c r="G25" t="s">
        <v>50</v>
      </c>
      <c r="H25" t="s">
        <v>7</v>
      </c>
      <c r="I25" t="s">
        <v>7</v>
      </c>
      <c r="J25" s="1" t="s">
        <v>39</v>
      </c>
      <c r="K25" t="s">
        <v>39</v>
      </c>
      <c r="L25">
        <v>3</v>
      </c>
      <c r="M25" t="str">
        <f>IF(D25="Y","",IF(N25="Y",INDEX(#REF!,MATCH(C25,#REF!,0)),C25))</f>
        <v>5 - Senior Officer</v>
      </c>
      <c r="N25" t="s">
        <v>52</v>
      </c>
      <c r="O25" t="s">
        <v>40</v>
      </c>
      <c r="P25">
        <v>26</v>
      </c>
      <c r="Q25" t="s">
        <v>25</v>
      </c>
      <c r="R25" t="s">
        <v>45</v>
      </c>
      <c r="S25" t="s">
        <v>45</v>
      </c>
      <c r="T25" s="2">
        <v>41730</v>
      </c>
      <c r="U25">
        <v>6</v>
      </c>
      <c r="V25">
        <f t="shared" ca="1" si="0"/>
        <v>0.53442604350113687</v>
      </c>
    </row>
    <row r="26" spans="1:22">
      <c r="A26">
        <v>25</v>
      </c>
      <c r="B26" t="s">
        <v>1</v>
      </c>
      <c r="C26" t="s">
        <v>57</v>
      </c>
      <c r="D26" t="s">
        <v>52</v>
      </c>
      <c r="E26">
        <v>2</v>
      </c>
      <c r="F26" t="s">
        <v>53</v>
      </c>
      <c r="G26" t="s">
        <v>50</v>
      </c>
      <c r="H26" t="s">
        <v>5</v>
      </c>
      <c r="I26" t="s">
        <v>5</v>
      </c>
      <c r="J26" s="1" t="s">
        <v>39</v>
      </c>
      <c r="K26" t="s">
        <v>39</v>
      </c>
      <c r="L26">
        <v>3</v>
      </c>
      <c r="M26" t="str">
        <f>IF(D26="Y","",IF(N26="Y",INDEX(#REF!,MATCH(C26,#REF!,0)),C26))</f>
        <v>4 - Manager</v>
      </c>
      <c r="N26" t="s">
        <v>52</v>
      </c>
      <c r="O26" t="s">
        <v>41</v>
      </c>
      <c r="P26">
        <v>36</v>
      </c>
      <c r="Q26" t="s">
        <v>20</v>
      </c>
      <c r="R26" t="s">
        <v>45</v>
      </c>
      <c r="S26" t="s">
        <v>45</v>
      </c>
      <c r="T26" s="2">
        <v>41730</v>
      </c>
      <c r="U26">
        <v>6</v>
      </c>
      <c r="V26">
        <f t="shared" ca="1" si="0"/>
        <v>0.42236039482130328</v>
      </c>
    </row>
    <row r="27" spans="1:22">
      <c r="A27">
        <v>26</v>
      </c>
      <c r="B27" t="s">
        <v>1</v>
      </c>
      <c r="C27" t="s">
        <v>56</v>
      </c>
      <c r="D27" t="s">
        <v>52</v>
      </c>
      <c r="E27">
        <v>2</v>
      </c>
      <c r="F27" t="s">
        <v>53</v>
      </c>
      <c r="G27" t="s">
        <v>50</v>
      </c>
      <c r="H27" t="s">
        <v>6</v>
      </c>
      <c r="I27" t="s">
        <v>6</v>
      </c>
      <c r="J27" s="1" t="s">
        <v>39</v>
      </c>
      <c r="K27" t="s">
        <v>39</v>
      </c>
      <c r="L27">
        <v>2</v>
      </c>
      <c r="M27" t="str">
        <f>IF(D27="Y","",IF(N27="Y",INDEX(#REF!,MATCH(C27,#REF!,0)),C27))</f>
        <v>6 - Junior Officer</v>
      </c>
      <c r="N27" t="s">
        <v>52</v>
      </c>
      <c r="O27" t="s">
        <v>40</v>
      </c>
      <c r="P27">
        <v>22</v>
      </c>
      <c r="Q27" t="s">
        <v>9</v>
      </c>
      <c r="R27" t="s">
        <v>9</v>
      </c>
      <c r="S27" t="s">
        <v>9</v>
      </c>
      <c r="T27" s="2">
        <v>43191</v>
      </c>
      <c r="U27">
        <v>2</v>
      </c>
      <c r="V27">
        <f t="shared" ca="1" si="0"/>
        <v>0.64718120407013568</v>
      </c>
    </row>
    <row r="28" spans="1:22">
      <c r="A28">
        <v>27</v>
      </c>
      <c r="B28" t="s">
        <v>0</v>
      </c>
      <c r="C28" t="s">
        <v>61</v>
      </c>
      <c r="D28" t="s">
        <v>52</v>
      </c>
      <c r="E28">
        <v>3</v>
      </c>
      <c r="F28" t="s">
        <v>53</v>
      </c>
      <c r="G28" t="s">
        <v>50</v>
      </c>
      <c r="H28" t="s">
        <v>6</v>
      </c>
      <c r="I28" t="s">
        <v>6</v>
      </c>
      <c r="J28" s="1" t="s">
        <v>39</v>
      </c>
      <c r="K28" t="s">
        <v>39</v>
      </c>
      <c r="L28">
        <v>3</v>
      </c>
      <c r="M28" t="str">
        <f>IF(D28="Y","",IF(N28="Y",INDEX(#REF!,MATCH(C28,#REF!,0)),C28))</f>
        <v>5 - Senior Officer</v>
      </c>
      <c r="N28" t="s">
        <v>52</v>
      </c>
      <c r="O28" t="s">
        <v>41</v>
      </c>
      <c r="P28">
        <v>33</v>
      </c>
      <c r="Q28" t="s">
        <v>9</v>
      </c>
      <c r="R28" t="s">
        <v>9</v>
      </c>
      <c r="S28" t="s">
        <v>9</v>
      </c>
      <c r="T28" s="2">
        <v>42461</v>
      </c>
      <c r="U28">
        <v>4</v>
      </c>
      <c r="V28">
        <f t="shared" ca="1" si="0"/>
        <v>0.15746686905010432</v>
      </c>
    </row>
    <row r="29" spans="1:22">
      <c r="A29">
        <v>28</v>
      </c>
      <c r="B29" t="s">
        <v>1</v>
      </c>
      <c r="C29" t="s">
        <v>61</v>
      </c>
      <c r="D29" t="s">
        <v>52</v>
      </c>
      <c r="E29">
        <v>4</v>
      </c>
      <c r="F29" t="s">
        <v>53</v>
      </c>
      <c r="G29" t="s">
        <v>50</v>
      </c>
      <c r="H29" t="s">
        <v>7</v>
      </c>
      <c r="I29" t="s">
        <v>7</v>
      </c>
      <c r="J29" s="1" t="s">
        <v>39</v>
      </c>
      <c r="K29" t="s">
        <v>39</v>
      </c>
      <c r="L29">
        <v>2</v>
      </c>
      <c r="M29" t="str">
        <f>IF(D29="Y","",IF(N29="Y",INDEX(#REF!,MATCH(C29,#REF!,0)),C29))</f>
        <v>5 - Senior Officer</v>
      </c>
      <c r="N29" t="s">
        <v>52</v>
      </c>
      <c r="O29" t="s">
        <v>40</v>
      </c>
      <c r="P29">
        <v>27</v>
      </c>
      <c r="Q29" t="s">
        <v>15</v>
      </c>
      <c r="R29" t="s">
        <v>45</v>
      </c>
      <c r="S29" t="s">
        <v>45</v>
      </c>
      <c r="T29" s="2">
        <v>42461</v>
      </c>
      <c r="U29">
        <v>4</v>
      </c>
      <c r="V29">
        <f t="shared" ca="1" si="0"/>
        <v>0.95058191142065351</v>
      </c>
    </row>
    <row r="30" spans="1:22">
      <c r="A30">
        <v>29</v>
      </c>
      <c r="B30" t="s">
        <v>0</v>
      </c>
      <c r="C30" t="s">
        <v>61</v>
      </c>
      <c r="D30" t="s">
        <v>52</v>
      </c>
      <c r="E30">
        <v>2</v>
      </c>
      <c r="F30" t="s">
        <v>53</v>
      </c>
      <c r="G30" t="s">
        <v>50</v>
      </c>
      <c r="H30" t="s">
        <v>3</v>
      </c>
      <c r="I30" t="s">
        <v>3</v>
      </c>
      <c r="J30" s="1" t="s">
        <v>39</v>
      </c>
      <c r="K30" t="s">
        <v>39</v>
      </c>
      <c r="L30">
        <v>2</v>
      </c>
      <c r="M30" t="str">
        <f>IF(D30="Y","",IF(N30="Y",INDEX(#REF!,MATCH(C30,#REF!,0)),C30))</f>
        <v>5 - Senior Officer</v>
      </c>
      <c r="N30" t="s">
        <v>52</v>
      </c>
      <c r="O30" t="s">
        <v>41</v>
      </c>
      <c r="P30">
        <v>32</v>
      </c>
      <c r="Q30" t="s">
        <v>15</v>
      </c>
      <c r="R30" t="s">
        <v>45</v>
      </c>
      <c r="S30" t="s">
        <v>45</v>
      </c>
      <c r="T30" s="2">
        <v>42461</v>
      </c>
      <c r="U30">
        <v>4</v>
      </c>
      <c r="V30">
        <f t="shared" ca="1" si="0"/>
        <v>0.84529254877872162</v>
      </c>
    </row>
    <row r="31" spans="1:22">
      <c r="A31">
        <v>30</v>
      </c>
      <c r="B31" t="s">
        <v>1</v>
      </c>
      <c r="C31" t="s">
        <v>56</v>
      </c>
      <c r="D31" t="s">
        <v>52</v>
      </c>
      <c r="E31">
        <v>2</v>
      </c>
      <c r="F31" t="s">
        <v>53</v>
      </c>
      <c r="G31" t="s">
        <v>50</v>
      </c>
      <c r="H31" t="s">
        <v>5</v>
      </c>
      <c r="I31" t="s">
        <v>5</v>
      </c>
      <c r="J31" s="1" t="s">
        <v>39</v>
      </c>
      <c r="K31" t="s">
        <v>39</v>
      </c>
      <c r="L31">
        <v>1</v>
      </c>
      <c r="M31" t="str">
        <f>IF(D31="Y","",IF(N31="Y",INDEX(#REF!,MATCH(C31,#REF!,0)),C31))</f>
        <v>6 - Junior Officer</v>
      </c>
      <c r="N31" t="s">
        <v>52</v>
      </c>
      <c r="O31" t="s">
        <v>40</v>
      </c>
      <c r="P31">
        <v>25</v>
      </c>
      <c r="Q31" t="s">
        <v>9</v>
      </c>
      <c r="R31" t="s">
        <v>9</v>
      </c>
      <c r="S31" t="s">
        <v>9</v>
      </c>
      <c r="T31" s="2">
        <v>43556</v>
      </c>
      <c r="U31">
        <v>1</v>
      </c>
      <c r="V31">
        <f t="shared" ca="1" si="0"/>
        <v>0.61144843744826594</v>
      </c>
    </row>
    <row r="32" spans="1:22">
      <c r="A32">
        <v>31</v>
      </c>
      <c r="B32" t="s">
        <v>0</v>
      </c>
      <c r="C32" t="s">
        <v>56</v>
      </c>
      <c r="D32" t="s">
        <v>52</v>
      </c>
      <c r="E32">
        <v>2</v>
      </c>
      <c r="F32" t="s">
        <v>53</v>
      </c>
      <c r="G32" t="s">
        <v>50</v>
      </c>
      <c r="H32" t="s">
        <v>5</v>
      </c>
      <c r="I32" t="s">
        <v>5</v>
      </c>
      <c r="J32" s="1" t="s">
        <v>39</v>
      </c>
      <c r="K32" t="s">
        <v>39</v>
      </c>
      <c r="L32">
        <v>3</v>
      </c>
      <c r="M32" t="str">
        <f>IF(D32="Y","",IF(N32="Y",INDEX(#REF!,MATCH(C32,#REF!,0)),C32))</f>
        <v>6 - Junior Officer</v>
      </c>
      <c r="N32" t="s">
        <v>52</v>
      </c>
      <c r="O32" t="s">
        <v>41</v>
      </c>
      <c r="P32">
        <v>33</v>
      </c>
      <c r="Q32" t="s">
        <v>9</v>
      </c>
      <c r="R32" t="s">
        <v>9</v>
      </c>
      <c r="S32" t="s">
        <v>9</v>
      </c>
      <c r="T32" s="2">
        <v>42826</v>
      </c>
      <c r="U32">
        <v>3</v>
      </c>
      <c r="V32">
        <f t="shared" ca="1" si="0"/>
        <v>6.8272963285399557E-3</v>
      </c>
    </row>
    <row r="33" spans="1:22">
      <c r="A33">
        <v>32</v>
      </c>
      <c r="B33" t="s">
        <v>1</v>
      </c>
      <c r="C33" t="s">
        <v>57</v>
      </c>
      <c r="D33" t="s">
        <v>52</v>
      </c>
      <c r="E33">
        <v>1</v>
      </c>
      <c r="F33" t="s">
        <v>53</v>
      </c>
      <c r="G33" t="s">
        <v>50</v>
      </c>
      <c r="H33" t="s">
        <v>7</v>
      </c>
      <c r="I33" t="s">
        <v>7</v>
      </c>
      <c r="J33" s="1" t="s">
        <v>39</v>
      </c>
      <c r="K33" t="s">
        <v>39</v>
      </c>
      <c r="L33">
        <v>2</v>
      </c>
      <c r="M33" t="str">
        <f>IF(D33="Y","",IF(N33="Y",INDEX(#REF!,MATCH(C33,#REF!,0)),C33))</f>
        <v>4 - Manager</v>
      </c>
      <c r="N33" t="s">
        <v>52</v>
      </c>
      <c r="O33" t="s">
        <v>41</v>
      </c>
      <c r="P33">
        <v>30</v>
      </c>
      <c r="Q33" t="s">
        <v>9</v>
      </c>
      <c r="R33" t="s">
        <v>9</v>
      </c>
      <c r="S33" t="s">
        <v>9</v>
      </c>
      <c r="T33" s="2">
        <v>41000</v>
      </c>
      <c r="U33">
        <v>8</v>
      </c>
      <c r="V33">
        <f t="shared" ca="1" si="0"/>
        <v>0.53902749727873078</v>
      </c>
    </row>
    <row r="34" spans="1:22">
      <c r="A34">
        <v>33</v>
      </c>
      <c r="B34" t="s">
        <v>1</v>
      </c>
      <c r="C34" t="s">
        <v>57</v>
      </c>
      <c r="D34" t="s">
        <v>52</v>
      </c>
      <c r="E34">
        <v>2</v>
      </c>
      <c r="F34" t="s">
        <v>53</v>
      </c>
      <c r="G34" t="s">
        <v>50</v>
      </c>
      <c r="H34" t="s">
        <v>7</v>
      </c>
      <c r="I34" t="s">
        <v>7</v>
      </c>
      <c r="J34" s="1" t="s">
        <v>39</v>
      </c>
      <c r="K34" t="s">
        <v>39</v>
      </c>
      <c r="L34">
        <v>1</v>
      </c>
      <c r="M34" t="e">
        <f>IF(D34="Y","",IF(N34="Y",INDEX(#REF!,MATCH(C34,#REF!,0)),C34))</f>
        <v>#REF!</v>
      </c>
      <c r="N34" t="s">
        <v>50</v>
      </c>
      <c r="O34" t="s">
        <v>41</v>
      </c>
      <c r="P34">
        <v>33</v>
      </c>
      <c r="Q34" t="s">
        <v>19</v>
      </c>
      <c r="R34" t="s">
        <v>45</v>
      </c>
      <c r="S34" t="s">
        <v>45</v>
      </c>
      <c r="T34" s="2">
        <v>41730</v>
      </c>
      <c r="U34">
        <v>6</v>
      </c>
      <c r="V34">
        <f t="shared" ca="1" si="0"/>
        <v>0.99009355212512351</v>
      </c>
    </row>
    <row r="35" spans="1:22">
      <c r="A35">
        <v>34</v>
      </c>
      <c r="B35" t="s">
        <v>0</v>
      </c>
      <c r="C35" t="s">
        <v>61</v>
      </c>
      <c r="D35" t="s">
        <v>52</v>
      </c>
      <c r="E35">
        <v>1</v>
      </c>
      <c r="F35" t="s">
        <v>53</v>
      </c>
      <c r="G35" t="s">
        <v>50</v>
      </c>
      <c r="H35" t="s">
        <v>6</v>
      </c>
      <c r="I35" t="s">
        <v>6</v>
      </c>
      <c r="J35" s="1" t="s">
        <v>39</v>
      </c>
      <c r="K35" t="s">
        <v>39</v>
      </c>
      <c r="L35">
        <v>5</v>
      </c>
      <c r="M35" t="str">
        <f>IF(D35="Y","",IF(N35="Y",INDEX(#REF!,MATCH(C35,#REF!,0)),C35))</f>
        <v>5 - Senior Officer</v>
      </c>
      <c r="N35" t="s">
        <v>52</v>
      </c>
      <c r="O35" t="s">
        <v>41</v>
      </c>
      <c r="P35">
        <v>37</v>
      </c>
      <c r="Q35" t="s">
        <v>9</v>
      </c>
      <c r="R35" t="s">
        <v>9</v>
      </c>
      <c r="S35" t="s">
        <v>9</v>
      </c>
      <c r="T35" s="2">
        <v>41730</v>
      </c>
      <c r="U35">
        <v>6</v>
      </c>
      <c r="V35">
        <f t="shared" ca="1" si="0"/>
        <v>0.32703102529556727</v>
      </c>
    </row>
    <row r="36" spans="1:22">
      <c r="A36">
        <v>35</v>
      </c>
      <c r="B36" t="s">
        <v>1</v>
      </c>
      <c r="C36" t="s">
        <v>61</v>
      </c>
      <c r="D36" t="s">
        <v>52</v>
      </c>
      <c r="E36">
        <v>3</v>
      </c>
      <c r="F36" t="s">
        <v>53</v>
      </c>
      <c r="G36" t="s">
        <v>50</v>
      </c>
      <c r="H36" t="s">
        <v>6</v>
      </c>
      <c r="I36" t="s">
        <v>6</v>
      </c>
      <c r="J36" s="1" t="s">
        <v>39</v>
      </c>
      <c r="K36" t="s">
        <v>39</v>
      </c>
      <c r="L36">
        <v>3</v>
      </c>
      <c r="M36" t="str">
        <f>IF(D36="Y","",IF(N36="Y",INDEX(#REF!,MATCH(C36,#REF!,0)),C36))</f>
        <v>5 - Senior Officer</v>
      </c>
      <c r="N36" t="s">
        <v>52</v>
      </c>
      <c r="O36" t="s">
        <v>40</v>
      </c>
      <c r="P36">
        <v>27</v>
      </c>
      <c r="Q36" t="s">
        <v>9</v>
      </c>
      <c r="R36" t="s">
        <v>9</v>
      </c>
      <c r="S36" t="s">
        <v>9</v>
      </c>
      <c r="T36" s="2">
        <v>42826</v>
      </c>
      <c r="U36">
        <v>3</v>
      </c>
      <c r="V36">
        <f t="shared" ca="1" si="0"/>
        <v>0.46245674666814307</v>
      </c>
    </row>
    <row r="37" spans="1:22">
      <c r="A37">
        <v>36</v>
      </c>
      <c r="B37" t="s">
        <v>1</v>
      </c>
      <c r="C37" t="s">
        <v>58</v>
      </c>
      <c r="D37" t="s">
        <v>52</v>
      </c>
      <c r="E37">
        <v>1</v>
      </c>
      <c r="F37" t="s">
        <v>53</v>
      </c>
      <c r="G37" t="s">
        <v>50</v>
      </c>
      <c r="H37" t="s">
        <v>7</v>
      </c>
      <c r="I37" t="s">
        <v>7</v>
      </c>
      <c r="J37" s="1" t="s">
        <v>39</v>
      </c>
      <c r="K37" t="s">
        <v>39</v>
      </c>
      <c r="L37">
        <v>3</v>
      </c>
      <c r="M37" t="str">
        <f>IF(D37="Y","",IF(N37="Y",INDEX(#REF!,MATCH(C37,#REF!,0)),C37))</f>
        <v>3 - Senior Manager</v>
      </c>
      <c r="N37" t="s">
        <v>52</v>
      </c>
      <c r="O37" t="s">
        <v>41</v>
      </c>
      <c r="P37">
        <v>39</v>
      </c>
      <c r="Q37" t="s">
        <v>30</v>
      </c>
      <c r="R37" t="s">
        <v>45</v>
      </c>
      <c r="S37" t="s">
        <v>45</v>
      </c>
      <c r="T37" s="2">
        <v>42095</v>
      </c>
      <c r="U37">
        <v>5</v>
      </c>
      <c r="V37">
        <f t="shared" ca="1" si="0"/>
        <v>8.2385056440987148E-2</v>
      </c>
    </row>
    <row r="38" spans="1:22">
      <c r="A38">
        <v>37</v>
      </c>
      <c r="B38" t="s">
        <v>1</v>
      </c>
      <c r="C38" t="s">
        <v>56</v>
      </c>
      <c r="D38" t="s">
        <v>52</v>
      </c>
      <c r="E38">
        <v>2</v>
      </c>
      <c r="F38" t="s">
        <v>53</v>
      </c>
      <c r="G38" t="s">
        <v>50</v>
      </c>
      <c r="H38" t="s">
        <v>5</v>
      </c>
      <c r="I38" t="s">
        <v>5</v>
      </c>
      <c r="J38" s="1" t="s">
        <v>39</v>
      </c>
      <c r="K38" t="s">
        <v>39</v>
      </c>
      <c r="L38">
        <v>2</v>
      </c>
      <c r="M38" t="str">
        <f>IF(D38="Y","",IF(N38="Y",INDEX(#REF!,MATCH(C38,#REF!,0)),C38))</f>
        <v>6 - Junior Officer</v>
      </c>
      <c r="N38" t="s">
        <v>52</v>
      </c>
      <c r="O38" t="s">
        <v>40</v>
      </c>
      <c r="P38">
        <v>25</v>
      </c>
      <c r="Q38" t="s">
        <v>9</v>
      </c>
      <c r="R38" t="s">
        <v>9</v>
      </c>
      <c r="S38" t="s">
        <v>9</v>
      </c>
      <c r="T38" s="2">
        <v>43191</v>
      </c>
      <c r="U38">
        <v>2</v>
      </c>
      <c r="V38">
        <f t="shared" ca="1" si="0"/>
        <v>0.6157373537907147</v>
      </c>
    </row>
    <row r="39" spans="1:22">
      <c r="A39">
        <v>38</v>
      </c>
      <c r="B39" t="s">
        <v>0</v>
      </c>
      <c r="C39" t="s">
        <v>56</v>
      </c>
      <c r="D39" t="s">
        <v>50</v>
      </c>
      <c r="F39" t="s">
        <v>53</v>
      </c>
      <c r="G39" t="s">
        <v>52</v>
      </c>
      <c r="H39" t="s">
        <v>5</v>
      </c>
      <c r="I39" t="s">
        <v>5</v>
      </c>
      <c r="J39" s="1" t="s">
        <v>39</v>
      </c>
      <c r="K39" t="s">
        <v>39</v>
      </c>
      <c r="L39">
        <v>0</v>
      </c>
      <c r="M39" t="str">
        <f>IF(D39="Y","",IF(N39="Y",INDEX(#REF!,MATCH(C39,#REF!,0)),C39))</f>
        <v/>
      </c>
      <c r="N39" t="s">
        <v>52</v>
      </c>
      <c r="O39" t="s">
        <v>40</v>
      </c>
      <c r="P39">
        <v>27</v>
      </c>
      <c r="Q39" t="s">
        <v>15</v>
      </c>
      <c r="R39" t="s">
        <v>45</v>
      </c>
      <c r="S39" t="s">
        <v>45</v>
      </c>
      <c r="T39" s="2">
        <v>43922</v>
      </c>
      <c r="U39">
        <v>0</v>
      </c>
      <c r="V39">
        <f t="shared" ca="1" si="0"/>
        <v>0.76633912441704932</v>
      </c>
    </row>
    <row r="40" spans="1:22">
      <c r="A40">
        <v>39</v>
      </c>
      <c r="B40" t="s">
        <v>1</v>
      </c>
      <c r="C40" t="s">
        <v>61</v>
      </c>
      <c r="D40" t="s">
        <v>52</v>
      </c>
      <c r="E40">
        <v>3</v>
      </c>
      <c r="F40" t="s">
        <v>53</v>
      </c>
      <c r="G40" t="s">
        <v>50</v>
      </c>
      <c r="H40" t="s">
        <v>6</v>
      </c>
      <c r="I40" t="s">
        <v>6</v>
      </c>
      <c r="J40" s="1" t="s">
        <v>39</v>
      </c>
      <c r="K40" t="s">
        <v>39</v>
      </c>
      <c r="L40">
        <v>1</v>
      </c>
      <c r="M40" t="e">
        <f>IF(D40="Y","",IF(N40="Y",INDEX(#REF!,MATCH(C40,#REF!,0)),C40))</f>
        <v>#REF!</v>
      </c>
      <c r="N40" t="s">
        <v>50</v>
      </c>
      <c r="O40" t="s">
        <v>40</v>
      </c>
      <c r="P40">
        <v>24</v>
      </c>
      <c r="Q40" t="s">
        <v>9</v>
      </c>
      <c r="R40" t="s">
        <v>9</v>
      </c>
      <c r="S40" t="s">
        <v>9</v>
      </c>
      <c r="T40" s="2">
        <v>42095</v>
      </c>
      <c r="U40">
        <v>5</v>
      </c>
      <c r="V40">
        <f t="shared" ca="1" si="0"/>
        <v>0.49152787528985098</v>
      </c>
    </row>
    <row r="41" spans="1:22">
      <c r="A41">
        <v>40</v>
      </c>
      <c r="B41" t="s">
        <v>1</v>
      </c>
      <c r="C41" t="s">
        <v>56</v>
      </c>
      <c r="D41" t="s">
        <v>52</v>
      </c>
      <c r="E41">
        <v>3</v>
      </c>
      <c r="F41" t="s">
        <v>53</v>
      </c>
      <c r="G41" t="s">
        <v>50</v>
      </c>
      <c r="H41" t="s">
        <v>5</v>
      </c>
      <c r="I41" t="s">
        <v>5</v>
      </c>
      <c r="J41" s="1" t="s">
        <v>39</v>
      </c>
      <c r="K41" t="s">
        <v>39</v>
      </c>
      <c r="L41">
        <v>3</v>
      </c>
      <c r="M41" t="str">
        <f>IF(D41="Y","",IF(N41="Y",INDEX(#REF!,MATCH(C41,#REF!,0)),C41))</f>
        <v>6 - Junior Officer</v>
      </c>
      <c r="N41" t="s">
        <v>52</v>
      </c>
      <c r="O41" t="s">
        <v>40</v>
      </c>
      <c r="P41">
        <v>21</v>
      </c>
      <c r="Q41" t="s">
        <v>19</v>
      </c>
      <c r="R41" t="s">
        <v>45</v>
      </c>
      <c r="S41" t="s">
        <v>45</v>
      </c>
      <c r="T41" s="2">
        <v>42826</v>
      </c>
      <c r="U41">
        <v>3</v>
      </c>
      <c r="V41">
        <f t="shared" ca="1" si="0"/>
        <v>0.17191243622859709</v>
      </c>
    </row>
    <row r="42" spans="1:22">
      <c r="A42">
        <v>41</v>
      </c>
      <c r="B42" t="s">
        <v>0</v>
      </c>
      <c r="C42" t="s">
        <v>56</v>
      </c>
      <c r="D42" t="s">
        <v>52</v>
      </c>
      <c r="E42">
        <v>2</v>
      </c>
      <c r="F42" t="s">
        <v>53</v>
      </c>
      <c r="G42" t="s">
        <v>50</v>
      </c>
      <c r="H42" t="s">
        <v>5</v>
      </c>
      <c r="I42" t="s">
        <v>5</v>
      </c>
      <c r="J42" s="1" t="s">
        <v>39</v>
      </c>
      <c r="K42" t="s">
        <v>39</v>
      </c>
      <c r="L42">
        <v>2</v>
      </c>
      <c r="M42" t="str">
        <f>IF(D42="Y","",IF(N42="Y",INDEX(#REF!,MATCH(C42,#REF!,0)),C42))</f>
        <v>6 - Junior Officer</v>
      </c>
      <c r="N42" t="s">
        <v>52</v>
      </c>
      <c r="O42" t="s">
        <v>40</v>
      </c>
      <c r="P42">
        <v>27</v>
      </c>
      <c r="Q42" t="s">
        <v>20</v>
      </c>
      <c r="R42" t="s">
        <v>45</v>
      </c>
      <c r="S42" t="s">
        <v>45</v>
      </c>
      <c r="T42" s="2">
        <v>43191</v>
      </c>
      <c r="U42">
        <v>2</v>
      </c>
      <c r="V42">
        <f t="shared" ca="1" si="0"/>
        <v>0.4140686069078281</v>
      </c>
    </row>
    <row r="43" spans="1:22">
      <c r="A43">
        <v>42</v>
      </c>
      <c r="B43" t="s">
        <v>0</v>
      </c>
      <c r="C43" t="s">
        <v>56</v>
      </c>
      <c r="D43" t="s">
        <v>52</v>
      </c>
      <c r="E43">
        <v>3</v>
      </c>
      <c r="F43" t="s">
        <v>53</v>
      </c>
      <c r="G43" t="s">
        <v>50</v>
      </c>
      <c r="H43" t="s">
        <v>5</v>
      </c>
      <c r="I43" t="s">
        <v>5</v>
      </c>
      <c r="J43" s="1" t="s">
        <v>39</v>
      </c>
      <c r="K43" t="s">
        <v>39</v>
      </c>
      <c r="L43">
        <v>1</v>
      </c>
      <c r="M43" t="str">
        <f>IF(D43="Y","",IF(N43="Y",INDEX(#REF!,MATCH(C43,#REF!,0)),C43))</f>
        <v>6 - Junior Officer</v>
      </c>
      <c r="N43" t="s">
        <v>52</v>
      </c>
      <c r="O43" t="s">
        <v>40</v>
      </c>
      <c r="P43">
        <v>28</v>
      </c>
      <c r="Q43" t="s">
        <v>9</v>
      </c>
      <c r="R43" t="s">
        <v>9</v>
      </c>
      <c r="S43" t="s">
        <v>9</v>
      </c>
      <c r="T43" s="2">
        <v>43556</v>
      </c>
      <c r="U43">
        <v>1</v>
      </c>
      <c r="V43">
        <f t="shared" ca="1" si="0"/>
        <v>0.1075069897777694</v>
      </c>
    </row>
    <row r="44" spans="1:22">
      <c r="A44">
        <v>43</v>
      </c>
      <c r="B44" t="s">
        <v>1</v>
      </c>
      <c r="C44" t="s">
        <v>58</v>
      </c>
      <c r="D44" t="s">
        <v>52</v>
      </c>
      <c r="E44">
        <v>2</v>
      </c>
      <c r="F44" t="s">
        <v>53</v>
      </c>
      <c r="G44" t="s">
        <v>50</v>
      </c>
      <c r="H44" t="s">
        <v>5</v>
      </c>
      <c r="I44" t="s">
        <v>5</v>
      </c>
      <c r="J44" s="1" t="s">
        <v>39</v>
      </c>
      <c r="K44" t="s">
        <v>39</v>
      </c>
      <c r="L44">
        <v>4</v>
      </c>
      <c r="M44" t="str">
        <f>IF(D44="Y","",IF(N44="Y",INDEX(#REF!,MATCH(C44,#REF!,0)),C44))</f>
        <v>3 - Senior Manager</v>
      </c>
      <c r="N44" t="s">
        <v>52</v>
      </c>
      <c r="O44" t="s">
        <v>42</v>
      </c>
      <c r="P44">
        <v>40</v>
      </c>
      <c r="Q44" t="s">
        <v>9</v>
      </c>
      <c r="R44" t="s">
        <v>9</v>
      </c>
      <c r="S44" t="s">
        <v>9</v>
      </c>
      <c r="T44" s="2">
        <v>42461</v>
      </c>
      <c r="U44">
        <v>4</v>
      </c>
      <c r="V44">
        <f t="shared" ca="1" si="0"/>
        <v>0.94540402414226576</v>
      </c>
    </row>
    <row r="45" spans="1:22">
      <c r="A45">
        <v>44</v>
      </c>
      <c r="B45" t="s">
        <v>0</v>
      </c>
      <c r="C45" t="s">
        <v>56</v>
      </c>
      <c r="D45" t="s">
        <v>52</v>
      </c>
      <c r="E45">
        <v>2</v>
      </c>
      <c r="F45" t="s">
        <v>53</v>
      </c>
      <c r="G45" t="s">
        <v>50</v>
      </c>
      <c r="H45" t="s">
        <v>7</v>
      </c>
      <c r="I45" t="s">
        <v>7</v>
      </c>
      <c r="J45" s="1" t="s">
        <v>39</v>
      </c>
      <c r="K45" t="s">
        <v>39</v>
      </c>
      <c r="L45">
        <v>2</v>
      </c>
      <c r="M45" t="str">
        <f>IF(D45="Y","",IF(N45="Y",INDEX(#REF!,MATCH(C45,#REF!,0)),C45))</f>
        <v>6 - Junior Officer</v>
      </c>
      <c r="N45" t="s">
        <v>52</v>
      </c>
      <c r="O45" t="s">
        <v>40</v>
      </c>
      <c r="P45">
        <v>23</v>
      </c>
      <c r="Q45" t="s">
        <v>15</v>
      </c>
      <c r="R45" t="s">
        <v>45</v>
      </c>
      <c r="S45" t="s">
        <v>45</v>
      </c>
      <c r="T45" s="2">
        <v>43191</v>
      </c>
      <c r="U45">
        <v>2</v>
      </c>
      <c r="V45">
        <f t="shared" ca="1" si="0"/>
        <v>0.44667160076195889</v>
      </c>
    </row>
    <row r="46" spans="1:22">
      <c r="A46">
        <v>45</v>
      </c>
      <c r="B46" t="s">
        <v>1</v>
      </c>
      <c r="C46" s="3" t="s">
        <v>59</v>
      </c>
      <c r="D46" t="s">
        <v>52</v>
      </c>
      <c r="E46">
        <v>2</v>
      </c>
      <c r="F46" t="s">
        <v>51</v>
      </c>
      <c r="G46" t="s">
        <v>50</v>
      </c>
      <c r="H46" t="s">
        <v>6</v>
      </c>
      <c r="I46" t="s">
        <v>6</v>
      </c>
      <c r="J46" s="1" t="s">
        <v>39</v>
      </c>
      <c r="K46" t="s">
        <v>39</v>
      </c>
      <c r="L46">
        <v>3</v>
      </c>
      <c r="M46" t="str">
        <f>IF(D46="Y","",IF(N46="Y",INDEX(#REF!,MATCH(C46,#REF!,0)),C46))</f>
        <v>2 - Director</v>
      </c>
      <c r="N46" t="s">
        <v>52</v>
      </c>
      <c r="O46" t="s">
        <v>43</v>
      </c>
      <c r="P46">
        <v>54</v>
      </c>
      <c r="Q46" t="s">
        <v>9</v>
      </c>
      <c r="R46" t="s">
        <v>9</v>
      </c>
      <c r="S46" t="s">
        <v>9</v>
      </c>
      <c r="T46" s="2">
        <v>40634</v>
      </c>
      <c r="U46">
        <v>9</v>
      </c>
      <c r="V46">
        <f t="shared" ca="1" si="0"/>
        <v>0.46821994946655388</v>
      </c>
    </row>
    <row r="47" spans="1:22">
      <c r="A47">
        <v>46</v>
      </c>
      <c r="B47" t="s">
        <v>1</v>
      </c>
      <c r="C47" t="s">
        <v>56</v>
      </c>
      <c r="D47" t="s">
        <v>52</v>
      </c>
      <c r="E47">
        <v>2</v>
      </c>
      <c r="F47" t="s">
        <v>53</v>
      </c>
      <c r="G47" t="s">
        <v>50</v>
      </c>
      <c r="H47" t="s">
        <v>6</v>
      </c>
      <c r="I47" t="s">
        <v>6</v>
      </c>
      <c r="J47" s="1" t="s">
        <v>39</v>
      </c>
      <c r="K47" t="s">
        <v>39</v>
      </c>
      <c r="L47">
        <v>3</v>
      </c>
      <c r="M47" t="str">
        <f>IF(D47="Y","",IF(N47="Y",INDEX(#REF!,MATCH(C47,#REF!,0)),C47))</f>
        <v>6 - Junior Officer</v>
      </c>
      <c r="N47" t="s">
        <v>52</v>
      </c>
      <c r="O47" t="s">
        <v>40</v>
      </c>
      <c r="P47">
        <v>26</v>
      </c>
      <c r="Q47" t="s">
        <v>20</v>
      </c>
      <c r="R47" t="s">
        <v>45</v>
      </c>
      <c r="S47" t="s">
        <v>45</v>
      </c>
      <c r="T47" s="2">
        <v>42826</v>
      </c>
      <c r="U47">
        <v>3</v>
      </c>
      <c r="V47">
        <f t="shared" ca="1" si="0"/>
        <v>0.99936115349620702</v>
      </c>
    </row>
    <row r="48" spans="1:22">
      <c r="A48">
        <v>47</v>
      </c>
      <c r="B48" t="s">
        <v>0</v>
      </c>
      <c r="C48" t="s">
        <v>57</v>
      </c>
      <c r="D48" t="s">
        <v>52</v>
      </c>
      <c r="E48">
        <v>2</v>
      </c>
      <c r="F48" t="s">
        <v>53</v>
      </c>
      <c r="G48" t="s">
        <v>50</v>
      </c>
      <c r="H48" t="s">
        <v>4</v>
      </c>
      <c r="I48" t="s">
        <v>4</v>
      </c>
      <c r="J48" s="1" t="s">
        <v>39</v>
      </c>
      <c r="K48" t="s">
        <v>39</v>
      </c>
      <c r="L48">
        <v>2</v>
      </c>
      <c r="M48" t="str">
        <f>IF(D48="Y","",IF(N48="Y",INDEX(#REF!,MATCH(C48,#REF!,0)),C48))</f>
        <v>4 - Manager</v>
      </c>
      <c r="N48" t="s">
        <v>52</v>
      </c>
      <c r="O48" t="s">
        <v>41</v>
      </c>
      <c r="P48">
        <v>36</v>
      </c>
      <c r="Q48" t="s">
        <v>28</v>
      </c>
      <c r="R48" t="s">
        <v>45</v>
      </c>
      <c r="S48" t="s">
        <v>45</v>
      </c>
      <c r="T48" s="2">
        <v>42461</v>
      </c>
      <c r="U48">
        <v>4</v>
      </c>
      <c r="V48">
        <f t="shared" ca="1" si="0"/>
        <v>0.4753473263122302</v>
      </c>
    </row>
    <row r="49" spans="1:22">
      <c r="A49">
        <v>48</v>
      </c>
      <c r="B49" t="s">
        <v>0</v>
      </c>
      <c r="C49" t="s">
        <v>56</v>
      </c>
      <c r="D49" t="s">
        <v>52</v>
      </c>
      <c r="E49">
        <v>3</v>
      </c>
      <c r="F49" t="s">
        <v>53</v>
      </c>
      <c r="G49" t="s">
        <v>50</v>
      </c>
      <c r="H49" t="s">
        <v>5</v>
      </c>
      <c r="I49" t="s">
        <v>5</v>
      </c>
      <c r="J49" s="1" t="s">
        <v>39</v>
      </c>
      <c r="K49" t="s">
        <v>39</v>
      </c>
      <c r="L49">
        <v>3</v>
      </c>
      <c r="M49" t="str">
        <f>IF(D49="Y","",IF(N49="Y",INDEX(#REF!,MATCH(C49,#REF!,0)),C49))</f>
        <v>6 - Junior Officer</v>
      </c>
      <c r="N49" t="s">
        <v>52</v>
      </c>
      <c r="O49" t="s">
        <v>40</v>
      </c>
      <c r="P49">
        <v>22</v>
      </c>
      <c r="Q49" t="s">
        <v>20</v>
      </c>
      <c r="R49" t="s">
        <v>45</v>
      </c>
      <c r="S49" t="s">
        <v>45</v>
      </c>
      <c r="T49" s="2">
        <v>42826</v>
      </c>
      <c r="U49">
        <v>3</v>
      </c>
      <c r="V49">
        <f t="shared" ca="1" si="0"/>
        <v>0.59834148729377679</v>
      </c>
    </row>
    <row r="50" spans="1:22">
      <c r="A50">
        <v>49</v>
      </c>
      <c r="B50" t="s">
        <v>0</v>
      </c>
      <c r="C50" t="s">
        <v>56</v>
      </c>
      <c r="D50" t="s">
        <v>52</v>
      </c>
      <c r="E50">
        <v>2</v>
      </c>
      <c r="F50" t="s">
        <v>53</v>
      </c>
      <c r="G50" t="s">
        <v>50</v>
      </c>
      <c r="H50" t="s">
        <v>4</v>
      </c>
      <c r="I50" t="s">
        <v>4</v>
      </c>
      <c r="J50" s="1" t="s">
        <v>39</v>
      </c>
      <c r="K50" t="s">
        <v>39</v>
      </c>
      <c r="L50">
        <v>2</v>
      </c>
      <c r="M50" t="str">
        <f>IF(D50="Y","",IF(N50="Y",INDEX(#REF!,MATCH(C50,#REF!,0)),C50))</f>
        <v>6 - Junior Officer</v>
      </c>
      <c r="N50" t="s">
        <v>52</v>
      </c>
      <c r="O50" t="s">
        <v>41</v>
      </c>
      <c r="P50">
        <v>31</v>
      </c>
      <c r="Q50" t="s">
        <v>9</v>
      </c>
      <c r="R50" t="s">
        <v>9</v>
      </c>
      <c r="S50" t="s">
        <v>9</v>
      </c>
      <c r="T50" s="2">
        <v>43191</v>
      </c>
      <c r="U50">
        <v>2</v>
      </c>
      <c r="V50">
        <f t="shared" ca="1" si="0"/>
        <v>0.91465171697295122</v>
      </c>
    </row>
    <row r="51" spans="1:22">
      <c r="A51">
        <v>50</v>
      </c>
      <c r="B51" t="s">
        <v>0</v>
      </c>
      <c r="C51" t="s">
        <v>56</v>
      </c>
      <c r="D51" t="s">
        <v>52</v>
      </c>
      <c r="E51">
        <v>3</v>
      </c>
      <c r="F51" t="s">
        <v>53</v>
      </c>
      <c r="G51" t="s">
        <v>50</v>
      </c>
      <c r="H51" t="s">
        <v>5</v>
      </c>
      <c r="I51" t="s">
        <v>5</v>
      </c>
      <c r="J51" s="1" t="s">
        <v>39</v>
      </c>
      <c r="K51" t="s">
        <v>39</v>
      </c>
      <c r="L51">
        <v>2</v>
      </c>
      <c r="M51" t="str">
        <f>IF(D51="Y","",IF(N51="Y",INDEX(#REF!,MATCH(C51,#REF!,0)),C51))</f>
        <v>6 - Junior Officer</v>
      </c>
      <c r="N51" t="s">
        <v>52</v>
      </c>
      <c r="O51" t="s">
        <v>40</v>
      </c>
      <c r="P51">
        <v>22</v>
      </c>
      <c r="Q51" t="s">
        <v>28</v>
      </c>
      <c r="R51" t="s">
        <v>45</v>
      </c>
      <c r="S51" t="s">
        <v>45</v>
      </c>
      <c r="T51" s="2">
        <v>43191</v>
      </c>
      <c r="U51">
        <v>2</v>
      </c>
      <c r="V51">
        <f t="shared" ca="1" si="0"/>
        <v>0.95916024429662072</v>
      </c>
    </row>
    <row r="52" spans="1:22">
      <c r="A52">
        <v>51</v>
      </c>
      <c r="B52" t="s">
        <v>1</v>
      </c>
      <c r="C52" t="s">
        <v>61</v>
      </c>
      <c r="D52" t="s">
        <v>52</v>
      </c>
      <c r="E52">
        <v>2</v>
      </c>
      <c r="F52" t="s">
        <v>53</v>
      </c>
      <c r="G52" t="s">
        <v>50</v>
      </c>
      <c r="H52" t="s">
        <v>5</v>
      </c>
      <c r="I52" t="s">
        <v>5</v>
      </c>
      <c r="J52" s="1" t="s">
        <v>39</v>
      </c>
      <c r="K52" t="s">
        <v>39</v>
      </c>
      <c r="L52">
        <v>6</v>
      </c>
      <c r="M52" t="str">
        <f>IF(D52="Y","",IF(N52="Y",INDEX(#REF!,MATCH(C52,#REF!,0)),C52))</f>
        <v>5 - Senior Officer</v>
      </c>
      <c r="N52" t="s">
        <v>52</v>
      </c>
      <c r="O52" t="s">
        <v>41</v>
      </c>
      <c r="P52">
        <v>31</v>
      </c>
      <c r="Q52" t="s">
        <v>9</v>
      </c>
      <c r="R52" t="s">
        <v>9</v>
      </c>
      <c r="S52" t="s">
        <v>9</v>
      </c>
      <c r="T52" s="2">
        <v>41000</v>
      </c>
      <c r="U52">
        <v>8</v>
      </c>
      <c r="V52">
        <f t="shared" ca="1" si="0"/>
        <v>0.89246863213912553</v>
      </c>
    </row>
    <row r="53" spans="1:22">
      <c r="A53">
        <v>52</v>
      </c>
      <c r="B53" t="s">
        <v>1</v>
      </c>
      <c r="C53" t="s">
        <v>57</v>
      </c>
      <c r="D53" t="s">
        <v>52</v>
      </c>
      <c r="E53">
        <v>2</v>
      </c>
      <c r="F53" t="s">
        <v>53</v>
      </c>
      <c r="G53" t="s">
        <v>50</v>
      </c>
      <c r="H53" t="s">
        <v>7</v>
      </c>
      <c r="I53" t="s">
        <v>7</v>
      </c>
      <c r="J53" s="1" t="s">
        <v>39</v>
      </c>
      <c r="K53" t="s">
        <v>39</v>
      </c>
      <c r="L53">
        <v>2</v>
      </c>
      <c r="M53" t="str">
        <f>IF(D53="Y","",IF(N53="Y",INDEX(#REF!,MATCH(C53,#REF!,0)),C53))</f>
        <v>4 - Manager</v>
      </c>
      <c r="N53" t="s">
        <v>52</v>
      </c>
      <c r="O53" t="s">
        <v>41</v>
      </c>
      <c r="P53">
        <v>32</v>
      </c>
      <c r="Q53" t="s">
        <v>20</v>
      </c>
      <c r="R53" t="s">
        <v>45</v>
      </c>
      <c r="S53" t="s">
        <v>45</v>
      </c>
      <c r="T53" s="2">
        <v>41000</v>
      </c>
      <c r="U53">
        <v>8</v>
      </c>
      <c r="V53">
        <f t="shared" ca="1" si="0"/>
        <v>0.95760087473724942</v>
      </c>
    </row>
    <row r="54" spans="1:22">
      <c r="A54">
        <v>53</v>
      </c>
      <c r="B54" t="s">
        <v>1</v>
      </c>
      <c r="C54" t="s">
        <v>61</v>
      </c>
      <c r="D54" t="s">
        <v>52</v>
      </c>
      <c r="E54">
        <v>2</v>
      </c>
      <c r="F54" t="s">
        <v>53</v>
      </c>
      <c r="G54" t="s">
        <v>50</v>
      </c>
      <c r="H54" t="s">
        <v>7</v>
      </c>
      <c r="I54" t="s">
        <v>7</v>
      </c>
      <c r="J54" s="1" t="s">
        <v>39</v>
      </c>
      <c r="K54" t="s">
        <v>39</v>
      </c>
      <c r="L54">
        <v>3</v>
      </c>
      <c r="M54" t="str">
        <f>IF(D54="Y","",IF(N54="Y",INDEX(#REF!,MATCH(C54,#REF!,0)),C54))</f>
        <v>5 - Senior Officer</v>
      </c>
      <c r="N54" t="s">
        <v>52</v>
      </c>
      <c r="O54" t="s">
        <v>41</v>
      </c>
      <c r="P54">
        <v>30</v>
      </c>
      <c r="Q54" t="s">
        <v>9</v>
      </c>
      <c r="R54" t="s">
        <v>9</v>
      </c>
      <c r="S54" t="s">
        <v>9</v>
      </c>
      <c r="T54" s="2">
        <v>41000</v>
      </c>
      <c r="U54">
        <v>8</v>
      </c>
      <c r="V54">
        <f t="shared" ca="1" si="0"/>
        <v>0.61627626817658843</v>
      </c>
    </row>
    <row r="55" spans="1:22">
      <c r="A55">
        <v>54</v>
      </c>
      <c r="B55" t="s">
        <v>1</v>
      </c>
      <c r="C55" t="s">
        <v>61</v>
      </c>
      <c r="D55" t="s">
        <v>52</v>
      </c>
      <c r="E55">
        <v>2</v>
      </c>
      <c r="F55" t="s">
        <v>53</v>
      </c>
      <c r="G55" t="s">
        <v>50</v>
      </c>
      <c r="H55" t="s">
        <v>5</v>
      </c>
      <c r="I55" t="s">
        <v>5</v>
      </c>
      <c r="J55" s="1" t="s">
        <v>39</v>
      </c>
      <c r="K55" t="s">
        <v>39</v>
      </c>
      <c r="L55">
        <v>7</v>
      </c>
      <c r="M55" t="str">
        <f>IF(D55="Y","",IF(N55="Y",INDEX(#REF!,MATCH(C55,#REF!,0)),C55))</f>
        <v>5 - Senior Officer</v>
      </c>
      <c r="N55" t="s">
        <v>52</v>
      </c>
      <c r="O55" t="s">
        <v>41</v>
      </c>
      <c r="P55">
        <v>33</v>
      </c>
      <c r="Q55" t="s">
        <v>9</v>
      </c>
      <c r="R55" t="s">
        <v>9</v>
      </c>
      <c r="S55" t="s">
        <v>9</v>
      </c>
      <c r="T55" s="2">
        <v>41000</v>
      </c>
      <c r="U55">
        <v>8</v>
      </c>
      <c r="V55">
        <f t="shared" ca="1" si="0"/>
        <v>0.54852963037708002</v>
      </c>
    </row>
    <row r="56" spans="1:22">
      <c r="A56">
        <v>55</v>
      </c>
      <c r="B56" t="s">
        <v>0</v>
      </c>
      <c r="C56" t="s">
        <v>56</v>
      </c>
      <c r="D56" t="s">
        <v>52</v>
      </c>
      <c r="E56">
        <v>2</v>
      </c>
      <c r="F56" t="s">
        <v>53</v>
      </c>
      <c r="G56" t="s">
        <v>50</v>
      </c>
      <c r="H56" t="s">
        <v>7</v>
      </c>
      <c r="I56" t="s">
        <v>7</v>
      </c>
      <c r="J56" s="1" t="s">
        <v>39</v>
      </c>
      <c r="K56" t="s">
        <v>39</v>
      </c>
      <c r="L56">
        <v>3</v>
      </c>
      <c r="M56" t="str">
        <f>IF(D56="Y","",IF(N56="Y",INDEX(#REF!,MATCH(C56,#REF!,0)),C56))</f>
        <v>6 - Junior Officer</v>
      </c>
      <c r="N56" t="s">
        <v>52</v>
      </c>
      <c r="O56" t="s">
        <v>40</v>
      </c>
      <c r="P56">
        <v>25</v>
      </c>
      <c r="Q56" t="s">
        <v>9</v>
      </c>
      <c r="R56" t="s">
        <v>9</v>
      </c>
      <c r="S56" t="s">
        <v>9</v>
      </c>
      <c r="T56" s="2">
        <v>42826</v>
      </c>
      <c r="U56">
        <v>3</v>
      </c>
      <c r="V56">
        <f t="shared" ca="1" si="0"/>
        <v>0.11793732331264939</v>
      </c>
    </row>
    <row r="57" spans="1:22">
      <c r="A57">
        <v>56</v>
      </c>
      <c r="B57" t="s">
        <v>1</v>
      </c>
      <c r="C57" t="s">
        <v>56</v>
      </c>
      <c r="D57" t="s">
        <v>50</v>
      </c>
      <c r="F57" t="s">
        <v>53</v>
      </c>
      <c r="G57" t="s">
        <v>52</v>
      </c>
      <c r="H57" t="s">
        <v>7</v>
      </c>
      <c r="I57" t="s">
        <v>7</v>
      </c>
      <c r="J57" s="1" t="s">
        <v>39</v>
      </c>
      <c r="K57" t="s">
        <v>39</v>
      </c>
      <c r="L57">
        <v>0</v>
      </c>
      <c r="M57" t="str">
        <f>IF(D57="Y","",IF(N57="Y",INDEX(#REF!,MATCH(C57,#REF!,0)),C57))</f>
        <v/>
      </c>
      <c r="N57" t="s">
        <v>52</v>
      </c>
      <c r="O57" t="s">
        <v>40</v>
      </c>
      <c r="P57">
        <v>25</v>
      </c>
      <c r="Q57" t="s">
        <v>9</v>
      </c>
      <c r="R57" t="s">
        <v>9</v>
      </c>
      <c r="S57" t="s">
        <v>9</v>
      </c>
      <c r="T57" s="2">
        <v>43922</v>
      </c>
      <c r="U57">
        <v>0</v>
      </c>
      <c r="V57">
        <f t="shared" ca="1" si="0"/>
        <v>0.2338212054663813</v>
      </c>
    </row>
    <row r="58" spans="1:22">
      <c r="A58">
        <v>57</v>
      </c>
      <c r="B58" t="s">
        <v>0</v>
      </c>
      <c r="C58" t="s">
        <v>57</v>
      </c>
      <c r="D58" t="s">
        <v>52</v>
      </c>
      <c r="F58" t="s">
        <v>51</v>
      </c>
      <c r="G58" t="s">
        <v>50</v>
      </c>
      <c r="H58" t="s">
        <v>7</v>
      </c>
      <c r="I58" t="s">
        <v>7</v>
      </c>
      <c r="J58" s="1" t="s">
        <v>39</v>
      </c>
      <c r="K58" t="s">
        <v>39</v>
      </c>
      <c r="L58">
        <v>3</v>
      </c>
      <c r="M58" t="str">
        <f>IF(D58="Y","",IF(N58="Y",INDEX(#REF!,MATCH(C58,#REF!,0)),C58))</f>
        <v>4 - Manager</v>
      </c>
      <c r="N58" t="s">
        <v>52</v>
      </c>
      <c r="O58" t="s">
        <v>41</v>
      </c>
      <c r="P58">
        <v>38</v>
      </c>
      <c r="Q58" t="s">
        <v>25</v>
      </c>
      <c r="R58" t="s">
        <v>45</v>
      </c>
      <c r="S58" t="s">
        <v>45</v>
      </c>
      <c r="T58" s="2">
        <v>42461</v>
      </c>
      <c r="U58">
        <v>4</v>
      </c>
      <c r="V58">
        <f t="shared" ca="1" si="0"/>
        <v>0.80493018570842445</v>
      </c>
    </row>
    <row r="59" spans="1:22">
      <c r="A59">
        <v>58</v>
      </c>
      <c r="B59" t="s">
        <v>1</v>
      </c>
      <c r="C59" t="s">
        <v>61</v>
      </c>
      <c r="D59" t="s">
        <v>52</v>
      </c>
      <c r="E59">
        <v>2</v>
      </c>
      <c r="F59" t="s">
        <v>53</v>
      </c>
      <c r="G59" t="s">
        <v>50</v>
      </c>
      <c r="H59" t="s">
        <v>7</v>
      </c>
      <c r="I59" t="s">
        <v>7</v>
      </c>
      <c r="J59" s="1" t="s">
        <v>39</v>
      </c>
      <c r="K59" t="s">
        <v>39</v>
      </c>
      <c r="L59">
        <v>2</v>
      </c>
      <c r="M59" t="str">
        <f>IF(D59="Y","",IF(N59="Y",INDEX(#REF!,MATCH(C59,#REF!,0)),C59))</f>
        <v>5 - Senior Officer</v>
      </c>
      <c r="N59" t="s">
        <v>52</v>
      </c>
      <c r="O59" t="s">
        <v>41</v>
      </c>
      <c r="P59">
        <v>35</v>
      </c>
      <c r="Q59" t="s">
        <v>9</v>
      </c>
      <c r="R59" t="s">
        <v>9</v>
      </c>
      <c r="S59" t="s">
        <v>9</v>
      </c>
      <c r="T59" s="2">
        <v>43191</v>
      </c>
      <c r="U59">
        <v>2</v>
      </c>
      <c r="V59">
        <f t="shared" ca="1" si="0"/>
        <v>0.78979847679564485</v>
      </c>
    </row>
    <row r="60" spans="1:22">
      <c r="A60">
        <v>59</v>
      </c>
      <c r="B60" t="s">
        <v>1</v>
      </c>
      <c r="C60" t="s">
        <v>56</v>
      </c>
      <c r="D60" t="s">
        <v>52</v>
      </c>
      <c r="E60">
        <v>2</v>
      </c>
      <c r="F60" t="s">
        <v>53</v>
      </c>
      <c r="G60" t="s">
        <v>50</v>
      </c>
      <c r="H60" t="s">
        <v>5</v>
      </c>
      <c r="I60" t="s">
        <v>5</v>
      </c>
      <c r="J60" s="1" t="s">
        <v>39</v>
      </c>
      <c r="K60" t="s">
        <v>39</v>
      </c>
      <c r="L60">
        <v>1</v>
      </c>
      <c r="M60" t="str">
        <f>IF(D60="Y","",IF(N60="Y",INDEX(#REF!,MATCH(C60,#REF!,0)),C60))</f>
        <v>6 - Junior Officer</v>
      </c>
      <c r="N60" t="s">
        <v>52</v>
      </c>
      <c r="O60" t="s">
        <v>40</v>
      </c>
      <c r="P60">
        <v>22</v>
      </c>
      <c r="Q60" t="s">
        <v>9</v>
      </c>
      <c r="R60" t="s">
        <v>9</v>
      </c>
      <c r="S60" t="s">
        <v>9</v>
      </c>
      <c r="T60" s="2">
        <v>43556</v>
      </c>
      <c r="U60">
        <v>1</v>
      </c>
      <c r="V60">
        <f t="shared" ca="1" si="0"/>
        <v>0.82871234057673115</v>
      </c>
    </row>
    <row r="61" spans="1:22">
      <c r="A61">
        <v>60</v>
      </c>
      <c r="B61" t="s">
        <v>1</v>
      </c>
      <c r="C61" s="3" t="s">
        <v>56</v>
      </c>
      <c r="D61" t="s">
        <v>52</v>
      </c>
      <c r="E61">
        <v>2</v>
      </c>
      <c r="F61" t="s">
        <v>51</v>
      </c>
      <c r="G61" t="s">
        <v>50</v>
      </c>
      <c r="H61" t="s">
        <v>5</v>
      </c>
      <c r="I61" t="s">
        <v>5</v>
      </c>
      <c r="J61" s="1" t="s">
        <v>39</v>
      </c>
      <c r="K61" t="s">
        <v>39</v>
      </c>
      <c r="L61">
        <v>3</v>
      </c>
      <c r="M61" t="str">
        <f>IF(D61="Y","",IF(N61="Y",INDEX(#REF!,MATCH(C61,#REF!,0)),C61))</f>
        <v>6 - Junior Officer</v>
      </c>
      <c r="N61" t="s">
        <v>52</v>
      </c>
      <c r="O61" t="s">
        <v>41</v>
      </c>
      <c r="P61">
        <v>38</v>
      </c>
      <c r="Q61" t="s">
        <v>20</v>
      </c>
      <c r="R61" t="s">
        <v>45</v>
      </c>
      <c r="S61" t="s">
        <v>45</v>
      </c>
      <c r="T61" s="2">
        <v>42826</v>
      </c>
      <c r="U61">
        <v>3</v>
      </c>
      <c r="V61">
        <f t="shared" ca="1" si="0"/>
        <v>0.79623735309670907</v>
      </c>
    </row>
    <row r="62" spans="1:22">
      <c r="A62">
        <v>61</v>
      </c>
      <c r="B62" t="s">
        <v>0</v>
      </c>
      <c r="C62" t="s">
        <v>56</v>
      </c>
      <c r="D62" t="s">
        <v>52</v>
      </c>
      <c r="E62">
        <v>3</v>
      </c>
      <c r="F62" t="s">
        <v>53</v>
      </c>
      <c r="G62" t="s">
        <v>50</v>
      </c>
      <c r="H62" t="s">
        <v>7</v>
      </c>
      <c r="I62" t="s">
        <v>7</v>
      </c>
      <c r="J62" s="1" t="s">
        <v>39</v>
      </c>
      <c r="K62" t="s">
        <v>39</v>
      </c>
      <c r="L62">
        <v>1</v>
      </c>
      <c r="M62" t="str">
        <f>IF(D62="Y","",IF(N62="Y",INDEX(#REF!,MATCH(C62,#REF!,0)),C62))</f>
        <v>6 - Junior Officer</v>
      </c>
      <c r="N62" t="s">
        <v>52</v>
      </c>
      <c r="O62" t="s">
        <v>40</v>
      </c>
      <c r="P62">
        <v>23</v>
      </c>
      <c r="Q62" t="s">
        <v>20</v>
      </c>
      <c r="R62" t="s">
        <v>45</v>
      </c>
      <c r="S62" t="s">
        <v>45</v>
      </c>
      <c r="T62" s="2">
        <v>43556</v>
      </c>
      <c r="U62">
        <v>1</v>
      </c>
      <c r="V62">
        <f t="shared" ca="1" si="0"/>
        <v>0.22633570703569816</v>
      </c>
    </row>
    <row r="63" spans="1:22">
      <c r="A63">
        <v>62</v>
      </c>
      <c r="B63" t="s">
        <v>0</v>
      </c>
      <c r="C63" s="3" t="s">
        <v>61</v>
      </c>
      <c r="D63" t="s">
        <v>52</v>
      </c>
      <c r="E63">
        <v>3</v>
      </c>
      <c r="F63" t="s">
        <v>51</v>
      </c>
      <c r="G63" t="s">
        <v>50</v>
      </c>
      <c r="H63" t="s">
        <v>5</v>
      </c>
      <c r="I63" t="s">
        <v>5</v>
      </c>
      <c r="J63" s="1">
        <v>0.8</v>
      </c>
      <c r="K63" t="s">
        <v>38</v>
      </c>
      <c r="L63">
        <v>2</v>
      </c>
      <c r="M63" t="str">
        <f>IF(D63="Y","",IF(N63="Y",INDEX(#REF!,MATCH(C63,#REF!,0)),C63))</f>
        <v>5 - Senior Officer</v>
      </c>
      <c r="N63" t="s">
        <v>52</v>
      </c>
      <c r="O63" t="s">
        <v>43</v>
      </c>
      <c r="P63">
        <v>56</v>
      </c>
      <c r="Q63" t="s">
        <v>9</v>
      </c>
      <c r="R63" t="s">
        <v>9</v>
      </c>
      <c r="S63" t="s">
        <v>9</v>
      </c>
      <c r="T63" s="2">
        <v>41000</v>
      </c>
      <c r="U63">
        <v>8</v>
      </c>
      <c r="V63">
        <f t="shared" ca="1" si="0"/>
        <v>0.32141271386709458</v>
      </c>
    </row>
    <row r="64" spans="1:22">
      <c r="A64">
        <v>63</v>
      </c>
      <c r="B64" t="s">
        <v>1</v>
      </c>
      <c r="C64" t="s">
        <v>56</v>
      </c>
      <c r="D64" t="s">
        <v>52</v>
      </c>
      <c r="E64">
        <v>2</v>
      </c>
      <c r="F64" t="s">
        <v>53</v>
      </c>
      <c r="G64" t="s">
        <v>50</v>
      </c>
      <c r="H64" t="s">
        <v>7</v>
      </c>
      <c r="I64" t="s">
        <v>7</v>
      </c>
      <c r="J64" s="1" t="s">
        <v>39</v>
      </c>
      <c r="K64" t="s">
        <v>39</v>
      </c>
      <c r="L64">
        <v>1</v>
      </c>
      <c r="M64" t="str">
        <f>IF(D64="Y","",IF(N64="Y",INDEX(#REF!,MATCH(C64,#REF!,0)),C64))</f>
        <v>6 - Junior Officer</v>
      </c>
      <c r="N64" t="s">
        <v>52</v>
      </c>
      <c r="O64" t="s">
        <v>40</v>
      </c>
      <c r="P64">
        <v>20</v>
      </c>
      <c r="Q64" t="s">
        <v>27</v>
      </c>
      <c r="R64" t="s">
        <v>46</v>
      </c>
      <c r="S64" t="s">
        <v>49</v>
      </c>
      <c r="T64" s="2">
        <v>43556</v>
      </c>
      <c r="U64">
        <v>1</v>
      </c>
      <c r="V64">
        <f t="shared" ca="1" si="0"/>
        <v>0.19837984133973707</v>
      </c>
    </row>
    <row r="65" spans="1:22">
      <c r="A65">
        <v>64</v>
      </c>
      <c r="B65" t="s">
        <v>1</v>
      </c>
      <c r="C65" t="s">
        <v>59</v>
      </c>
      <c r="D65" t="s">
        <v>52</v>
      </c>
      <c r="E65">
        <v>3</v>
      </c>
      <c r="F65" t="s">
        <v>53</v>
      </c>
      <c r="G65" t="s">
        <v>50</v>
      </c>
      <c r="H65" t="s">
        <v>7</v>
      </c>
      <c r="I65" t="s">
        <v>7</v>
      </c>
      <c r="J65" s="1" t="s">
        <v>39</v>
      </c>
      <c r="K65" t="s">
        <v>39</v>
      </c>
      <c r="L65">
        <v>3</v>
      </c>
      <c r="M65" t="str">
        <f>IF(D65="Y","",IF(N65="Y",INDEX(#REF!,MATCH(C65,#REF!,0)),C65))</f>
        <v>2 - Director</v>
      </c>
      <c r="N65" t="s">
        <v>52</v>
      </c>
      <c r="O65" t="s">
        <v>41</v>
      </c>
      <c r="P65">
        <v>36</v>
      </c>
      <c r="Q65" t="s">
        <v>9</v>
      </c>
      <c r="R65" t="s">
        <v>9</v>
      </c>
      <c r="S65" t="s">
        <v>9</v>
      </c>
      <c r="T65" s="2">
        <v>40634</v>
      </c>
      <c r="U65">
        <v>9</v>
      </c>
      <c r="V65">
        <f t="shared" ca="1" si="0"/>
        <v>0.17905207949308832</v>
      </c>
    </row>
    <row r="66" spans="1:22">
      <c r="A66">
        <v>65</v>
      </c>
      <c r="B66" t="s">
        <v>0</v>
      </c>
      <c r="C66" t="s">
        <v>59</v>
      </c>
      <c r="D66" t="s">
        <v>52</v>
      </c>
      <c r="E66">
        <v>2</v>
      </c>
      <c r="F66" t="s">
        <v>53</v>
      </c>
      <c r="G66" t="s">
        <v>50</v>
      </c>
      <c r="H66" t="s">
        <v>7</v>
      </c>
      <c r="I66" t="s">
        <v>7</v>
      </c>
      <c r="J66" s="1" t="s">
        <v>39</v>
      </c>
      <c r="K66" t="s">
        <v>39</v>
      </c>
      <c r="L66">
        <v>3</v>
      </c>
      <c r="M66" t="str">
        <f>IF(D66="Y","",IF(N66="Y",INDEX(#REF!,MATCH(C66,#REF!,0)),C66))</f>
        <v>2 - Director</v>
      </c>
      <c r="N66" t="s">
        <v>52</v>
      </c>
      <c r="O66" t="s">
        <v>42</v>
      </c>
      <c r="P66">
        <v>45</v>
      </c>
      <c r="Q66" t="s">
        <v>20</v>
      </c>
      <c r="R66" t="s">
        <v>45</v>
      </c>
      <c r="S66" t="s">
        <v>45</v>
      </c>
      <c r="T66" s="2">
        <v>42461</v>
      </c>
      <c r="U66">
        <v>4</v>
      </c>
      <c r="V66">
        <f t="shared" ref="V66:V129" ca="1" si="1">RAND()</f>
        <v>0.54454693771264107</v>
      </c>
    </row>
    <row r="67" spans="1:22">
      <c r="A67">
        <v>66</v>
      </c>
      <c r="B67" t="s">
        <v>0</v>
      </c>
      <c r="C67" t="s">
        <v>58</v>
      </c>
      <c r="D67" t="s">
        <v>52</v>
      </c>
      <c r="E67">
        <v>3</v>
      </c>
      <c r="F67" t="s">
        <v>53</v>
      </c>
      <c r="G67" t="s">
        <v>50</v>
      </c>
      <c r="H67" t="s">
        <v>7</v>
      </c>
      <c r="I67" t="s">
        <v>7</v>
      </c>
      <c r="J67" s="1" t="s">
        <v>39</v>
      </c>
      <c r="K67" t="s">
        <v>39</v>
      </c>
      <c r="L67">
        <v>1</v>
      </c>
      <c r="M67" t="e">
        <f>IF(D67="Y","",IF(N67="Y",INDEX(#REF!,MATCH(C67,#REF!,0)),C67))</f>
        <v>#REF!</v>
      </c>
      <c r="N67" t="s">
        <v>50</v>
      </c>
      <c r="O67" t="s">
        <v>41</v>
      </c>
      <c r="P67">
        <v>39</v>
      </c>
      <c r="Q67" t="s">
        <v>19</v>
      </c>
      <c r="R67" t="s">
        <v>45</v>
      </c>
      <c r="S67" t="s">
        <v>45</v>
      </c>
      <c r="T67" s="2">
        <v>42095</v>
      </c>
      <c r="U67">
        <v>5</v>
      </c>
      <c r="V67">
        <f t="shared" ca="1" si="1"/>
        <v>0.84267038716908782</v>
      </c>
    </row>
    <row r="68" spans="1:22">
      <c r="A68">
        <v>67</v>
      </c>
      <c r="B68" t="s">
        <v>1</v>
      </c>
      <c r="C68" t="s">
        <v>59</v>
      </c>
      <c r="D68" t="s">
        <v>52</v>
      </c>
      <c r="E68">
        <v>2</v>
      </c>
      <c r="F68" t="s">
        <v>53</v>
      </c>
      <c r="G68" t="s">
        <v>50</v>
      </c>
      <c r="H68" t="s">
        <v>5</v>
      </c>
      <c r="I68" t="s">
        <v>5</v>
      </c>
      <c r="J68" s="1" t="s">
        <v>39</v>
      </c>
      <c r="K68" t="s">
        <v>39</v>
      </c>
      <c r="L68">
        <v>1</v>
      </c>
      <c r="M68" t="e">
        <f>IF(D68="Y","",IF(N68="Y",INDEX(#REF!,MATCH(C68,#REF!,0)),C68))</f>
        <v>#REF!</v>
      </c>
      <c r="N68" t="s">
        <v>50</v>
      </c>
      <c r="O68" t="s">
        <v>42</v>
      </c>
      <c r="P68">
        <v>46</v>
      </c>
      <c r="Q68" t="s">
        <v>9</v>
      </c>
      <c r="R68" t="s">
        <v>9</v>
      </c>
      <c r="S68" t="s">
        <v>9</v>
      </c>
      <c r="T68" s="2">
        <v>42461</v>
      </c>
      <c r="U68">
        <v>4</v>
      </c>
      <c r="V68">
        <f t="shared" ca="1" si="1"/>
        <v>4.15233216479306E-2</v>
      </c>
    </row>
    <row r="69" spans="1:22">
      <c r="A69">
        <v>68</v>
      </c>
      <c r="B69" t="s">
        <v>1</v>
      </c>
      <c r="C69" t="s">
        <v>61</v>
      </c>
      <c r="D69" t="s">
        <v>52</v>
      </c>
      <c r="E69">
        <v>3</v>
      </c>
      <c r="F69" t="s">
        <v>53</v>
      </c>
      <c r="G69" t="s">
        <v>50</v>
      </c>
      <c r="H69" t="s">
        <v>7</v>
      </c>
      <c r="I69" t="s">
        <v>7</v>
      </c>
      <c r="J69" s="1" t="s">
        <v>39</v>
      </c>
      <c r="K69" t="s">
        <v>39</v>
      </c>
      <c r="L69">
        <v>5</v>
      </c>
      <c r="M69" t="str">
        <f>IF(D69="Y","",IF(N69="Y",INDEX(#REF!,MATCH(C69,#REF!,0)),C69))</f>
        <v>5 - Senior Officer</v>
      </c>
      <c r="N69" t="s">
        <v>52</v>
      </c>
      <c r="O69" t="s">
        <v>40</v>
      </c>
      <c r="P69">
        <v>25</v>
      </c>
      <c r="Q69" t="s">
        <v>9</v>
      </c>
      <c r="R69" t="s">
        <v>9</v>
      </c>
      <c r="S69" t="s">
        <v>9</v>
      </c>
      <c r="T69" s="2">
        <v>41730</v>
      </c>
      <c r="U69">
        <v>6</v>
      </c>
      <c r="V69">
        <f t="shared" ca="1" si="1"/>
        <v>0.88401852644762835</v>
      </c>
    </row>
    <row r="70" spans="1:22">
      <c r="A70">
        <v>69</v>
      </c>
      <c r="B70" t="s">
        <v>0</v>
      </c>
      <c r="C70" t="s">
        <v>56</v>
      </c>
      <c r="D70" t="s">
        <v>52</v>
      </c>
      <c r="E70">
        <v>2</v>
      </c>
      <c r="F70" t="s">
        <v>53</v>
      </c>
      <c r="G70" t="s">
        <v>50</v>
      </c>
      <c r="H70" t="s">
        <v>5</v>
      </c>
      <c r="I70" t="s">
        <v>5</v>
      </c>
      <c r="J70" s="1" t="s">
        <v>39</v>
      </c>
      <c r="K70" t="s">
        <v>39</v>
      </c>
      <c r="L70">
        <v>2</v>
      </c>
      <c r="M70" t="str">
        <f>IF(D70="Y","",IF(N70="Y",INDEX(#REF!,MATCH(C70,#REF!,0)),C70))</f>
        <v>6 - Junior Officer</v>
      </c>
      <c r="N70" t="s">
        <v>52</v>
      </c>
      <c r="O70" t="s">
        <v>40</v>
      </c>
      <c r="P70">
        <v>26</v>
      </c>
      <c r="Q70" t="s">
        <v>25</v>
      </c>
      <c r="R70" t="s">
        <v>45</v>
      </c>
      <c r="S70" t="s">
        <v>45</v>
      </c>
      <c r="T70" s="2">
        <v>43191</v>
      </c>
      <c r="U70">
        <v>2</v>
      </c>
      <c r="V70">
        <f t="shared" ca="1" si="1"/>
        <v>0.7765269383551503</v>
      </c>
    </row>
    <row r="71" spans="1:22">
      <c r="A71">
        <v>70</v>
      </c>
      <c r="B71" t="s">
        <v>1</v>
      </c>
      <c r="C71" t="s">
        <v>61</v>
      </c>
      <c r="D71" t="s">
        <v>52</v>
      </c>
      <c r="E71">
        <v>2</v>
      </c>
      <c r="F71" t="s">
        <v>53</v>
      </c>
      <c r="G71" t="s">
        <v>50</v>
      </c>
      <c r="H71" t="s">
        <v>7</v>
      </c>
      <c r="I71" t="s">
        <v>7</v>
      </c>
      <c r="J71" s="1" t="s">
        <v>39</v>
      </c>
      <c r="K71" t="s">
        <v>39</v>
      </c>
      <c r="L71">
        <v>4</v>
      </c>
      <c r="M71" t="str">
        <f>IF(D71="Y","",IF(N71="Y",INDEX(#REF!,MATCH(C71,#REF!,0)),C71))</f>
        <v>5 - Senior Officer</v>
      </c>
      <c r="N71" t="s">
        <v>52</v>
      </c>
      <c r="O71" t="s">
        <v>40</v>
      </c>
      <c r="P71">
        <v>29</v>
      </c>
      <c r="Q71" t="s">
        <v>9</v>
      </c>
      <c r="R71" t="s">
        <v>9</v>
      </c>
      <c r="S71" t="s">
        <v>9</v>
      </c>
      <c r="T71" s="2">
        <v>42461</v>
      </c>
      <c r="U71">
        <v>4</v>
      </c>
      <c r="V71">
        <f t="shared" ca="1" si="1"/>
        <v>0.39583292028264161</v>
      </c>
    </row>
    <row r="72" spans="1:22">
      <c r="A72">
        <v>71</v>
      </c>
      <c r="B72" t="s">
        <v>0</v>
      </c>
      <c r="C72" t="s">
        <v>57</v>
      </c>
      <c r="D72" t="s">
        <v>52</v>
      </c>
      <c r="E72">
        <v>3</v>
      </c>
      <c r="F72" t="s">
        <v>53</v>
      </c>
      <c r="G72" t="s">
        <v>50</v>
      </c>
      <c r="H72" t="s">
        <v>5</v>
      </c>
      <c r="I72" t="s">
        <v>5</v>
      </c>
      <c r="J72" s="1" t="s">
        <v>39</v>
      </c>
      <c r="K72" t="s">
        <v>39</v>
      </c>
      <c r="L72">
        <v>4</v>
      </c>
      <c r="M72" t="str">
        <f>IF(D72="Y","",IF(N72="Y",INDEX(#REF!,MATCH(C72,#REF!,0)),C72))</f>
        <v>4 - Manager</v>
      </c>
      <c r="N72" t="s">
        <v>52</v>
      </c>
      <c r="O72" t="s">
        <v>42</v>
      </c>
      <c r="P72">
        <v>40</v>
      </c>
      <c r="Q72" t="s">
        <v>30</v>
      </c>
      <c r="R72" t="s">
        <v>45</v>
      </c>
      <c r="S72" t="s">
        <v>45</v>
      </c>
      <c r="T72" s="2">
        <v>40634</v>
      </c>
      <c r="U72">
        <v>9</v>
      </c>
      <c r="V72">
        <f t="shared" ca="1" si="1"/>
        <v>0.50745348911664201</v>
      </c>
    </row>
    <row r="73" spans="1:22">
      <c r="A73">
        <v>72</v>
      </c>
      <c r="B73" t="s">
        <v>0</v>
      </c>
      <c r="C73" t="s">
        <v>61</v>
      </c>
      <c r="D73" t="s">
        <v>52</v>
      </c>
      <c r="E73">
        <v>2</v>
      </c>
      <c r="F73" t="s">
        <v>53</v>
      </c>
      <c r="G73" t="s">
        <v>50</v>
      </c>
      <c r="H73" t="s">
        <v>5</v>
      </c>
      <c r="I73" t="s">
        <v>5</v>
      </c>
      <c r="J73" s="1" t="s">
        <v>39</v>
      </c>
      <c r="K73" t="s">
        <v>39</v>
      </c>
      <c r="L73">
        <v>4</v>
      </c>
      <c r="M73" t="str">
        <f>IF(D73="Y","",IF(N73="Y",INDEX(#REF!,MATCH(C73,#REF!,0)),C73))</f>
        <v>5 - Senior Officer</v>
      </c>
      <c r="N73" t="s">
        <v>52</v>
      </c>
      <c r="O73" t="s">
        <v>41</v>
      </c>
      <c r="P73">
        <v>34</v>
      </c>
      <c r="Q73" t="s">
        <v>20</v>
      </c>
      <c r="R73" t="s">
        <v>45</v>
      </c>
      <c r="S73" t="s">
        <v>45</v>
      </c>
      <c r="T73" s="2">
        <v>42461</v>
      </c>
      <c r="U73">
        <v>4</v>
      </c>
      <c r="V73">
        <f t="shared" ca="1" si="1"/>
        <v>0.39729718466988895</v>
      </c>
    </row>
    <row r="74" spans="1:22">
      <c r="A74">
        <v>73</v>
      </c>
      <c r="B74" t="s">
        <v>1</v>
      </c>
      <c r="C74" t="s">
        <v>59</v>
      </c>
      <c r="D74" t="s">
        <v>50</v>
      </c>
      <c r="F74" t="s">
        <v>53</v>
      </c>
      <c r="G74" t="s">
        <v>52</v>
      </c>
      <c r="H74" t="s">
        <v>5</v>
      </c>
      <c r="I74" t="s">
        <v>5</v>
      </c>
      <c r="J74" s="1" t="s">
        <v>39</v>
      </c>
      <c r="K74" t="s">
        <v>39</v>
      </c>
      <c r="L74">
        <v>0</v>
      </c>
      <c r="M74" t="str">
        <f>IF(D74="Y","",IF(N74="Y",INDEX(#REF!,MATCH(C74,#REF!,0)),C74))</f>
        <v/>
      </c>
      <c r="N74" t="s">
        <v>52</v>
      </c>
      <c r="O74" t="s">
        <v>43</v>
      </c>
      <c r="P74">
        <v>51</v>
      </c>
      <c r="Q74" t="s">
        <v>9</v>
      </c>
      <c r="R74" t="s">
        <v>9</v>
      </c>
      <c r="S74" t="s">
        <v>9</v>
      </c>
      <c r="T74" s="2">
        <v>43922</v>
      </c>
      <c r="U74">
        <v>0</v>
      </c>
      <c r="V74">
        <f t="shared" ca="1" si="1"/>
        <v>0.87304067759660897</v>
      </c>
    </row>
    <row r="75" spans="1:22">
      <c r="A75">
        <v>74</v>
      </c>
      <c r="B75" t="s">
        <v>0</v>
      </c>
      <c r="C75" t="s">
        <v>61</v>
      </c>
      <c r="D75" t="s">
        <v>52</v>
      </c>
      <c r="F75" t="s">
        <v>51</v>
      </c>
      <c r="G75" t="s">
        <v>50</v>
      </c>
      <c r="H75" t="s">
        <v>7</v>
      </c>
      <c r="I75" t="s">
        <v>7</v>
      </c>
      <c r="J75" s="1">
        <v>0.8</v>
      </c>
      <c r="K75" t="s">
        <v>38</v>
      </c>
      <c r="L75">
        <v>3</v>
      </c>
      <c r="M75" t="str">
        <f>IF(D75="Y","",IF(N75="Y",INDEX(#REF!,MATCH(C75,#REF!,0)),C75))</f>
        <v>5 - Senior Officer</v>
      </c>
      <c r="N75" t="s">
        <v>52</v>
      </c>
      <c r="O75" t="s">
        <v>42</v>
      </c>
      <c r="P75">
        <v>41</v>
      </c>
      <c r="Q75" t="s">
        <v>9</v>
      </c>
      <c r="R75" t="s">
        <v>9</v>
      </c>
      <c r="S75" t="s">
        <v>9</v>
      </c>
      <c r="T75" s="2">
        <v>42826</v>
      </c>
      <c r="U75">
        <v>3</v>
      </c>
      <c r="V75">
        <f t="shared" ca="1" si="1"/>
        <v>0.57870913781544242</v>
      </c>
    </row>
    <row r="76" spans="1:22">
      <c r="A76">
        <v>75</v>
      </c>
      <c r="B76" t="s">
        <v>0</v>
      </c>
      <c r="C76" t="s">
        <v>56</v>
      </c>
      <c r="D76" t="s">
        <v>52</v>
      </c>
      <c r="E76">
        <v>3</v>
      </c>
      <c r="F76" t="s">
        <v>53</v>
      </c>
      <c r="G76" t="s">
        <v>50</v>
      </c>
      <c r="H76" t="s">
        <v>7</v>
      </c>
      <c r="I76" t="s">
        <v>7</v>
      </c>
      <c r="J76" s="1" t="s">
        <v>39</v>
      </c>
      <c r="K76" t="s">
        <v>39</v>
      </c>
      <c r="L76">
        <v>3</v>
      </c>
      <c r="M76" t="str">
        <f>IF(D76="Y","",IF(N76="Y",INDEX(#REF!,MATCH(C76,#REF!,0)),C76))</f>
        <v>6 - Junior Officer</v>
      </c>
      <c r="N76" t="s">
        <v>52</v>
      </c>
      <c r="O76" t="s">
        <v>40</v>
      </c>
      <c r="P76">
        <v>24</v>
      </c>
      <c r="Q76" t="s">
        <v>9</v>
      </c>
      <c r="R76" t="s">
        <v>9</v>
      </c>
      <c r="S76" t="s">
        <v>9</v>
      </c>
      <c r="T76" s="2">
        <v>42826</v>
      </c>
      <c r="U76">
        <v>3</v>
      </c>
      <c r="V76">
        <f t="shared" ca="1" si="1"/>
        <v>0.50701455814887642</v>
      </c>
    </row>
    <row r="77" spans="1:22">
      <c r="A77">
        <v>76</v>
      </c>
      <c r="B77" t="s">
        <v>0</v>
      </c>
      <c r="C77" t="s">
        <v>57</v>
      </c>
      <c r="D77" t="s">
        <v>52</v>
      </c>
      <c r="E77">
        <v>2</v>
      </c>
      <c r="F77" t="s">
        <v>53</v>
      </c>
      <c r="G77" t="s">
        <v>50</v>
      </c>
      <c r="H77" t="s">
        <v>6</v>
      </c>
      <c r="I77" t="s">
        <v>6</v>
      </c>
      <c r="J77" s="1" t="s">
        <v>39</v>
      </c>
      <c r="K77" t="s">
        <v>39</v>
      </c>
      <c r="L77">
        <v>4</v>
      </c>
      <c r="M77" t="str">
        <f>IF(D77="Y","",IF(N77="Y",INDEX(#REF!,MATCH(C77,#REF!,0)),C77))</f>
        <v>4 - Manager</v>
      </c>
      <c r="N77" t="s">
        <v>52</v>
      </c>
      <c r="O77" t="s">
        <v>42</v>
      </c>
      <c r="P77">
        <v>43</v>
      </c>
      <c r="Q77" t="s">
        <v>9</v>
      </c>
      <c r="R77" t="s">
        <v>9</v>
      </c>
      <c r="S77" t="s">
        <v>9</v>
      </c>
      <c r="T77" s="2">
        <v>41000</v>
      </c>
      <c r="U77">
        <v>8</v>
      </c>
      <c r="V77">
        <f t="shared" ca="1" si="1"/>
        <v>0.38678254476411011</v>
      </c>
    </row>
    <row r="78" spans="1:22">
      <c r="A78">
        <v>77</v>
      </c>
      <c r="B78" t="s">
        <v>1</v>
      </c>
      <c r="C78" t="s">
        <v>58</v>
      </c>
      <c r="D78" t="s">
        <v>52</v>
      </c>
      <c r="E78">
        <v>2</v>
      </c>
      <c r="F78" t="s">
        <v>53</v>
      </c>
      <c r="G78" t="s">
        <v>50</v>
      </c>
      <c r="H78" t="s">
        <v>7</v>
      </c>
      <c r="I78" t="s">
        <v>7</v>
      </c>
      <c r="J78" s="1" t="s">
        <v>39</v>
      </c>
      <c r="K78" t="s">
        <v>39</v>
      </c>
      <c r="L78">
        <v>2</v>
      </c>
      <c r="M78" t="str">
        <f>IF(D78="Y","",IF(N78="Y",INDEX(#REF!,MATCH(C78,#REF!,0)),C78))</f>
        <v>3 - Senior Manager</v>
      </c>
      <c r="N78" t="s">
        <v>52</v>
      </c>
      <c r="O78" t="s">
        <v>42</v>
      </c>
      <c r="P78">
        <v>41</v>
      </c>
      <c r="Q78" t="s">
        <v>19</v>
      </c>
      <c r="R78" t="s">
        <v>45</v>
      </c>
      <c r="S78" t="s">
        <v>45</v>
      </c>
      <c r="T78" s="2">
        <v>42461</v>
      </c>
      <c r="U78">
        <v>4</v>
      </c>
      <c r="V78">
        <f t="shared" ca="1" si="1"/>
        <v>7.2180208126892631E-2</v>
      </c>
    </row>
    <row r="79" spans="1:22">
      <c r="A79">
        <v>78</v>
      </c>
      <c r="B79" t="s">
        <v>0</v>
      </c>
      <c r="C79" t="s">
        <v>61</v>
      </c>
      <c r="D79" t="s">
        <v>52</v>
      </c>
      <c r="E79">
        <v>2</v>
      </c>
      <c r="F79" t="s">
        <v>53</v>
      </c>
      <c r="G79" t="s">
        <v>50</v>
      </c>
      <c r="H79" t="s">
        <v>7</v>
      </c>
      <c r="I79" t="s">
        <v>7</v>
      </c>
      <c r="J79" s="1">
        <v>0.7</v>
      </c>
      <c r="K79" t="s">
        <v>38</v>
      </c>
      <c r="L79">
        <v>3</v>
      </c>
      <c r="M79" t="str">
        <f>IF(D79="Y","",IF(N79="Y",INDEX(#REF!,MATCH(C79,#REF!,0)),C79))</f>
        <v>5 - Senior Officer</v>
      </c>
      <c r="N79" t="s">
        <v>52</v>
      </c>
      <c r="O79" t="s">
        <v>41</v>
      </c>
      <c r="P79">
        <v>31</v>
      </c>
      <c r="Q79" t="s">
        <v>9</v>
      </c>
      <c r="R79" t="s">
        <v>9</v>
      </c>
      <c r="S79" t="s">
        <v>9</v>
      </c>
      <c r="T79" s="2">
        <v>41000</v>
      </c>
      <c r="U79">
        <v>8</v>
      </c>
      <c r="V79">
        <f t="shared" ca="1" si="1"/>
        <v>0.93611757400975015</v>
      </c>
    </row>
    <row r="80" spans="1:22">
      <c r="A80">
        <v>79</v>
      </c>
      <c r="B80" t="s">
        <v>1</v>
      </c>
      <c r="C80" t="s">
        <v>56</v>
      </c>
      <c r="D80" t="s">
        <v>50</v>
      </c>
      <c r="F80" t="s">
        <v>53</v>
      </c>
      <c r="G80" t="s">
        <v>52</v>
      </c>
      <c r="H80" t="s">
        <v>7</v>
      </c>
      <c r="I80" t="s">
        <v>7</v>
      </c>
      <c r="J80" s="1" t="s">
        <v>39</v>
      </c>
      <c r="K80" t="s">
        <v>39</v>
      </c>
      <c r="L80">
        <v>0</v>
      </c>
      <c r="M80" t="str">
        <f>IF(D80="Y","",IF(N80="Y",INDEX(#REF!,MATCH(C80,#REF!,0)),C80))</f>
        <v/>
      </c>
      <c r="N80" t="s">
        <v>52</v>
      </c>
      <c r="O80" t="s">
        <v>40</v>
      </c>
      <c r="P80">
        <v>26</v>
      </c>
      <c r="Q80" t="s">
        <v>19</v>
      </c>
      <c r="R80" t="s">
        <v>45</v>
      </c>
      <c r="S80" t="s">
        <v>45</v>
      </c>
      <c r="T80" s="2">
        <v>43922</v>
      </c>
      <c r="U80">
        <v>0</v>
      </c>
      <c r="V80">
        <f t="shared" ca="1" si="1"/>
        <v>0.57904261738666107</v>
      </c>
    </row>
    <row r="81" spans="1:22">
      <c r="A81">
        <v>80</v>
      </c>
      <c r="B81" t="s">
        <v>0</v>
      </c>
      <c r="C81" t="s">
        <v>61</v>
      </c>
      <c r="D81" t="s">
        <v>52</v>
      </c>
      <c r="E81">
        <v>3</v>
      </c>
      <c r="F81" t="s">
        <v>53</v>
      </c>
      <c r="G81" t="s">
        <v>50</v>
      </c>
      <c r="H81" t="s">
        <v>5</v>
      </c>
      <c r="I81" t="s">
        <v>5</v>
      </c>
      <c r="J81" s="1">
        <v>0.5</v>
      </c>
      <c r="K81" t="s">
        <v>38</v>
      </c>
      <c r="L81">
        <v>3</v>
      </c>
      <c r="M81" t="str">
        <f>IF(D81="Y","",IF(N81="Y",INDEX(#REF!,MATCH(C81,#REF!,0)),C81))</f>
        <v>5 - Senior Officer</v>
      </c>
      <c r="N81" t="s">
        <v>52</v>
      </c>
      <c r="O81" t="s">
        <v>40</v>
      </c>
      <c r="P81">
        <v>28</v>
      </c>
      <c r="Q81" t="s">
        <v>20</v>
      </c>
      <c r="R81" t="s">
        <v>45</v>
      </c>
      <c r="S81" t="s">
        <v>45</v>
      </c>
      <c r="T81" s="2">
        <v>41730</v>
      </c>
      <c r="U81">
        <v>6</v>
      </c>
      <c r="V81">
        <f t="shared" ca="1" si="1"/>
        <v>0.83532071073475056</v>
      </c>
    </row>
    <row r="82" spans="1:22">
      <c r="A82">
        <v>81</v>
      </c>
      <c r="B82" t="s">
        <v>1</v>
      </c>
      <c r="C82" t="s">
        <v>59</v>
      </c>
      <c r="D82" t="s">
        <v>52</v>
      </c>
      <c r="E82">
        <v>3</v>
      </c>
      <c r="F82" t="s">
        <v>53</v>
      </c>
      <c r="G82" t="s">
        <v>50</v>
      </c>
      <c r="H82" t="s">
        <v>5</v>
      </c>
      <c r="I82" t="s">
        <v>5</v>
      </c>
      <c r="J82" s="1" t="s">
        <v>39</v>
      </c>
      <c r="K82" t="s">
        <v>39</v>
      </c>
      <c r="L82">
        <v>3</v>
      </c>
      <c r="M82" t="str">
        <f>IF(D82="Y","",IF(N82="Y",INDEX(#REF!,MATCH(C82,#REF!,0)),C82))</f>
        <v>2 - Director</v>
      </c>
      <c r="N82" t="s">
        <v>52</v>
      </c>
      <c r="O82" t="s">
        <v>42</v>
      </c>
      <c r="P82">
        <v>42</v>
      </c>
      <c r="Q82" t="s">
        <v>9</v>
      </c>
      <c r="R82" t="s">
        <v>9</v>
      </c>
      <c r="S82" t="s">
        <v>9</v>
      </c>
      <c r="T82" s="2">
        <v>41365</v>
      </c>
      <c r="U82">
        <v>7</v>
      </c>
      <c r="V82">
        <f t="shared" ca="1" si="1"/>
        <v>0.47037615507381825</v>
      </c>
    </row>
    <row r="83" spans="1:22">
      <c r="A83">
        <v>82</v>
      </c>
      <c r="B83" t="s">
        <v>1</v>
      </c>
      <c r="C83" t="s">
        <v>56</v>
      </c>
      <c r="D83" t="s">
        <v>52</v>
      </c>
      <c r="E83">
        <v>1</v>
      </c>
      <c r="F83" t="s">
        <v>53</v>
      </c>
      <c r="G83" t="s">
        <v>50</v>
      </c>
      <c r="H83" t="s">
        <v>6</v>
      </c>
      <c r="I83" t="s">
        <v>6</v>
      </c>
      <c r="J83" s="1" t="s">
        <v>39</v>
      </c>
      <c r="K83" t="s">
        <v>39</v>
      </c>
      <c r="L83">
        <v>2</v>
      </c>
      <c r="M83" t="str">
        <f>IF(D83="Y","",IF(N83="Y",INDEX(#REF!,MATCH(C83,#REF!,0)),C83))</f>
        <v>6 - Junior Officer</v>
      </c>
      <c r="N83" t="s">
        <v>52</v>
      </c>
      <c r="O83" t="s">
        <v>40</v>
      </c>
      <c r="P83">
        <v>25</v>
      </c>
      <c r="Q83" t="s">
        <v>9</v>
      </c>
      <c r="R83" t="s">
        <v>9</v>
      </c>
      <c r="S83" t="s">
        <v>9</v>
      </c>
      <c r="T83" s="2">
        <v>43191</v>
      </c>
      <c r="U83">
        <v>2</v>
      </c>
      <c r="V83">
        <f t="shared" ca="1" si="1"/>
        <v>0.62578717296765707</v>
      </c>
    </row>
    <row r="84" spans="1:22">
      <c r="A84">
        <v>83</v>
      </c>
      <c r="B84" t="s">
        <v>0</v>
      </c>
      <c r="C84" t="s">
        <v>56</v>
      </c>
      <c r="D84" t="s">
        <v>52</v>
      </c>
      <c r="E84">
        <v>4</v>
      </c>
      <c r="F84" t="s">
        <v>53</v>
      </c>
      <c r="G84" t="s">
        <v>50</v>
      </c>
      <c r="H84" t="s">
        <v>5</v>
      </c>
      <c r="I84" t="s">
        <v>5</v>
      </c>
      <c r="J84" s="1" t="s">
        <v>39</v>
      </c>
      <c r="K84" t="s">
        <v>39</v>
      </c>
      <c r="L84">
        <v>3</v>
      </c>
      <c r="M84" t="str">
        <f>IF(D84="Y","",IF(N84="Y",INDEX(#REF!,MATCH(C84,#REF!,0)),C84))</f>
        <v>6 - Junior Officer</v>
      </c>
      <c r="N84" t="s">
        <v>52</v>
      </c>
      <c r="O84" t="s">
        <v>40</v>
      </c>
      <c r="P84">
        <v>23</v>
      </c>
      <c r="Q84" t="s">
        <v>9</v>
      </c>
      <c r="R84" t="s">
        <v>9</v>
      </c>
      <c r="S84" t="s">
        <v>9</v>
      </c>
      <c r="T84" s="2">
        <v>42826</v>
      </c>
      <c r="U84">
        <v>3</v>
      </c>
      <c r="V84">
        <f t="shared" ca="1" si="1"/>
        <v>0.39846660400013667</v>
      </c>
    </row>
    <row r="85" spans="1:22">
      <c r="A85">
        <v>84</v>
      </c>
      <c r="B85" t="s">
        <v>0</v>
      </c>
      <c r="C85" t="s">
        <v>56</v>
      </c>
      <c r="D85" t="s">
        <v>52</v>
      </c>
      <c r="E85">
        <v>3</v>
      </c>
      <c r="F85" t="s">
        <v>53</v>
      </c>
      <c r="G85" t="s">
        <v>50</v>
      </c>
      <c r="H85" t="s">
        <v>5</v>
      </c>
      <c r="I85" t="s">
        <v>5</v>
      </c>
      <c r="J85" s="1" t="s">
        <v>39</v>
      </c>
      <c r="K85" t="s">
        <v>39</v>
      </c>
      <c r="L85">
        <v>3</v>
      </c>
      <c r="M85" t="str">
        <f>IF(D85="Y","",IF(N85="Y",INDEX(#REF!,MATCH(C85,#REF!,0)),C85))</f>
        <v>6 - Junior Officer</v>
      </c>
      <c r="N85" t="s">
        <v>52</v>
      </c>
      <c r="O85" t="s">
        <v>40</v>
      </c>
      <c r="P85">
        <v>26</v>
      </c>
      <c r="Q85" t="s">
        <v>20</v>
      </c>
      <c r="R85" t="s">
        <v>45</v>
      </c>
      <c r="S85" t="s">
        <v>45</v>
      </c>
      <c r="T85" s="2">
        <v>42826</v>
      </c>
      <c r="U85">
        <v>3</v>
      </c>
      <c r="V85">
        <f t="shared" ca="1" si="1"/>
        <v>0.62947768959168138</v>
      </c>
    </row>
    <row r="86" spans="1:22">
      <c r="A86">
        <v>85</v>
      </c>
      <c r="B86" t="s">
        <v>1</v>
      </c>
      <c r="C86" s="3" t="s">
        <v>59</v>
      </c>
      <c r="D86" t="s">
        <v>52</v>
      </c>
      <c r="E86">
        <v>4</v>
      </c>
      <c r="F86" t="s">
        <v>51</v>
      </c>
      <c r="G86" t="s">
        <v>50</v>
      </c>
      <c r="H86" t="s">
        <v>6</v>
      </c>
      <c r="I86" t="s">
        <v>6</v>
      </c>
      <c r="J86" s="1" t="s">
        <v>39</v>
      </c>
      <c r="K86" t="s">
        <v>39</v>
      </c>
      <c r="L86">
        <v>2</v>
      </c>
      <c r="M86" t="str">
        <f>IF(D86="Y","",IF(N86="Y",INDEX(#REF!,MATCH(C86,#REF!,0)),C86))</f>
        <v>2 - Director</v>
      </c>
      <c r="N86" t="s">
        <v>52</v>
      </c>
      <c r="O86" t="s">
        <v>41</v>
      </c>
      <c r="P86">
        <v>33</v>
      </c>
      <c r="Q86" t="s">
        <v>20</v>
      </c>
      <c r="R86" t="s">
        <v>45</v>
      </c>
      <c r="S86" t="s">
        <v>45</v>
      </c>
      <c r="T86" s="2">
        <v>42826</v>
      </c>
      <c r="U86">
        <v>3</v>
      </c>
      <c r="V86">
        <f t="shared" ca="1" si="1"/>
        <v>0.10887125638745276</v>
      </c>
    </row>
    <row r="87" spans="1:22">
      <c r="A87">
        <v>86</v>
      </c>
      <c r="B87" t="s">
        <v>0</v>
      </c>
      <c r="C87" t="s">
        <v>56</v>
      </c>
      <c r="D87" t="s">
        <v>52</v>
      </c>
      <c r="E87">
        <v>2</v>
      </c>
      <c r="F87" t="s">
        <v>53</v>
      </c>
      <c r="G87" t="s">
        <v>50</v>
      </c>
      <c r="H87" t="s">
        <v>7</v>
      </c>
      <c r="I87" t="s">
        <v>7</v>
      </c>
      <c r="J87" s="1" t="s">
        <v>39</v>
      </c>
      <c r="K87" t="s">
        <v>39</v>
      </c>
      <c r="L87">
        <v>2</v>
      </c>
      <c r="M87" t="str">
        <f>IF(D87="Y","",IF(N87="Y",INDEX(#REF!,MATCH(C87,#REF!,0)),C87))</f>
        <v>6 - Junior Officer</v>
      </c>
      <c r="N87" t="s">
        <v>52</v>
      </c>
      <c r="O87" t="s">
        <v>40</v>
      </c>
      <c r="P87">
        <v>25</v>
      </c>
      <c r="Q87" t="s">
        <v>9</v>
      </c>
      <c r="R87" t="s">
        <v>9</v>
      </c>
      <c r="S87" t="s">
        <v>9</v>
      </c>
      <c r="T87" s="2">
        <v>43191</v>
      </c>
      <c r="U87">
        <v>2</v>
      </c>
      <c r="V87">
        <f t="shared" ca="1" si="1"/>
        <v>0.57313078596733891</v>
      </c>
    </row>
    <row r="88" spans="1:22">
      <c r="A88">
        <v>87</v>
      </c>
      <c r="B88" t="s">
        <v>1</v>
      </c>
      <c r="C88" t="s">
        <v>60</v>
      </c>
      <c r="D88" t="s">
        <v>52</v>
      </c>
      <c r="F88" t="s">
        <v>53</v>
      </c>
      <c r="G88" t="s">
        <v>50</v>
      </c>
      <c r="H88" t="s">
        <v>6</v>
      </c>
      <c r="I88" t="s">
        <v>6</v>
      </c>
      <c r="J88" s="1" t="s">
        <v>39</v>
      </c>
      <c r="K88" t="s">
        <v>39</v>
      </c>
      <c r="L88">
        <v>3</v>
      </c>
      <c r="M88" t="str">
        <f>IF(D88="Y","",IF(N88="Y",INDEX(#REF!,MATCH(C88,#REF!,0)),C88))</f>
        <v>1 - Executive</v>
      </c>
      <c r="N88" t="s">
        <v>52</v>
      </c>
      <c r="O88" t="s">
        <v>42</v>
      </c>
      <c r="P88">
        <v>40</v>
      </c>
      <c r="Q88" t="s">
        <v>9</v>
      </c>
      <c r="R88" t="s">
        <v>9</v>
      </c>
      <c r="S88" t="s">
        <v>9</v>
      </c>
      <c r="T88" s="2">
        <v>40634</v>
      </c>
      <c r="U88">
        <v>9</v>
      </c>
      <c r="V88">
        <f t="shared" ca="1" si="1"/>
        <v>0.13435090761189405</v>
      </c>
    </row>
    <row r="89" spans="1:22">
      <c r="A89">
        <v>88</v>
      </c>
      <c r="B89" t="s">
        <v>1</v>
      </c>
      <c r="C89" t="s">
        <v>56</v>
      </c>
      <c r="D89" t="s">
        <v>52</v>
      </c>
      <c r="E89">
        <v>2</v>
      </c>
      <c r="F89" t="s">
        <v>53</v>
      </c>
      <c r="G89" t="s">
        <v>50</v>
      </c>
      <c r="H89" t="s">
        <v>4</v>
      </c>
      <c r="I89" t="s">
        <v>4</v>
      </c>
      <c r="J89" s="1" t="s">
        <v>39</v>
      </c>
      <c r="K89" t="s">
        <v>39</v>
      </c>
      <c r="L89">
        <v>3</v>
      </c>
      <c r="M89" t="str">
        <f>IF(D89="Y","",IF(N89="Y",INDEX(#REF!,MATCH(C89,#REF!,0)),C89))</f>
        <v>6 - Junior Officer</v>
      </c>
      <c r="N89" t="s">
        <v>52</v>
      </c>
      <c r="O89" t="s">
        <v>40</v>
      </c>
      <c r="P89">
        <v>24</v>
      </c>
      <c r="Q89" t="s">
        <v>9</v>
      </c>
      <c r="R89" t="s">
        <v>9</v>
      </c>
      <c r="S89" t="s">
        <v>9</v>
      </c>
      <c r="T89" s="2">
        <v>42826</v>
      </c>
      <c r="U89">
        <v>3</v>
      </c>
      <c r="V89">
        <f t="shared" ca="1" si="1"/>
        <v>0.62345441586164707</v>
      </c>
    </row>
    <row r="90" spans="1:22">
      <c r="A90">
        <v>89</v>
      </c>
      <c r="B90" t="s">
        <v>1</v>
      </c>
      <c r="C90" t="s">
        <v>58</v>
      </c>
      <c r="D90" t="s">
        <v>50</v>
      </c>
      <c r="F90" t="s">
        <v>53</v>
      </c>
      <c r="G90" t="s">
        <v>52</v>
      </c>
      <c r="H90" t="s">
        <v>6</v>
      </c>
      <c r="I90" t="s">
        <v>6</v>
      </c>
      <c r="J90" s="1" t="s">
        <v>39</v>
      </c>
      <c r="K90" t="s">
        <v>39</v>
      </c>
      <c r="L90">
        <v>0</v>
      </c>
      <c r="M90" t="str">
        <f>IF(D90="Y","",IF(N90="Y",INDEX(#REF!,MATCH(C90,#REF!,0)),C90))</f>
        <v/>
      </c>
      <c r="N90" t="s">
        <v>52</v>
      </c>
      <c r="O90" t="s">
        <v>41</v>
      </c>
      <c r="P90">
        <v>38</v>
      </c>
      <c r="Q90" t="s">
        <v>19</v>
      </c>
      <c r="R90" t="s">
        <v>45</v>
      </c>
      <c r="S90" t="s">
        <v>45</v>
      </c>
      <c r="T90" s="2">
        <v>43922</v>
      </c>
      <c r="U90">
        <v>0</v>
      </c>
      <c r="V90">
        <f t="shared" ca="1" si="1"/>
        <v>0.9360537164725985</v>
      </c>
    </row>
    <row r="91" spans="1:22">
      <c r="A91">
        <v>90</v>
      </c>
      <c r="B91" t="s">
        <v>1</v>
      </c>
      <c r="C91" t="s">
        <v>61</v>
      </c>
      <c r="D91" t="s">
        <v>52</v>
      </c>
      <c r="E91">
        <v>2</v>
      </c>
      <c r="F91" t="s">
        <v>53</v>
      </c>
      <c r="G91" t="s">
        <v>50</v>
      </c>
      <c r="H91" t="s">
        <v>7</v>
      </c>
      <c r="I91" t="s">
        <v>7</v>
      </c>
      <c r="J91" s="1" t="s">
        <v>39</v>
      </c>
      <c r="K91" t="s">
        <v>39</v>
      </c>
      <c r="L91">
        <v>1</v>
      </c>
      <c r="M91" t="e">
        <f>IF(D91="Y","",IF(N91="Y",INDEX(#REF!,MATCH(C91,#REF!,0)),C91))</f>
        <v>#REF!</v>
      </c>
      <c r="N91" t="s">
        <v>50</v>
      </c>
      <c r="O91" t="s">
        <v>40</v>
      </c>
      <c r="P91">
        <v>29</v>
      </c>
      <c r="Q91" t="s">
        <v>9</v>
      </c>
      <c r="R91" t="s">
        <v>9</v>
      </c>
      <c r="S91" t="s">
        <v>9</v>
      </c>
      <c r="T91" s="2">
        <v>40634</v>
      </c>
      <c r="U91">
        <v>9</v>
      </c>
      <c r="V91">
        <f t="shared" ca="1" si="1"/>
        <v>0.93275173507324038</v>
      </c>
    </row>
    <row r="92" spans="1:22">
      <c r="A92">
        <v>91</v>
      </c>
      <c r="B92" t="s">
        <v>1</v>
      </c>
      <c r="C92" t="s">
        <v>61</v>
      </c>
      <c r="D92" t="s">
        <v>52</v>
      </c>
      <c r="E92">
        <v>2</v>
      </c>
      <c r="F92" t="s">
        <v>53</v>
      </c>
      <c r="G92" t="s">
        <v>50</v>
      </c>
      <c r="H92" t="s">
        <v>5</v>
      </c>
      <c r="I92" t="s">
        <v>5</v>
      </c>
      <c r="J92" s="1" t="s">
        <v>39</v>
      </c>
      <c r="K92" t="s">
        <v>39</v>
      </c>
      <c r="L92">
        <v>1</v>
      </c>
      <c r="M92" t="e">
        <f>IF(D92="Y","",IF(N92="Y",INDEX(#REF!,MATCH(C92,#REF!,0)),C92))</f>
        <v>#REF!</v>
      </c>
      <c r="N92" t="s">
        <v>50</v>
      </c>
      <c r="O92" t="s">
        <v>41</v>
      </c>
      <c r="P92">
        <v>31</v>
      </c>
      <c r="Q92" t="s">
        <v>19</v>
      </c>
      <c r="R92" t="s">
        <v>45</v>
      </c>
      <c r="S92" t="s">
        <v>45</v>
      </c>
      <c r="T92" s="2">
        <v>42095</v>
      </c>
      <c r="U92">
        <v>5</v>
      </c>
      <c r="V92">
        <f t="shared" ca="1" si="1"/>
        <v>6.4878244292819298E-2</v>
      </c>
    </row>
    <row r="93" spans="1:22">
      <c r="A93">
        <v>92</v>
      </c>
      <c r="B93" t="s">
        <v>1</v>
      </c>
      <c r="C93" t="s">
        <v>56</v>
      </c>
      <c r="D93" t="s">
        <v>52</v>
      </c>
      <c r="E93">
        <v>3</v>
      </c>
      <c r="F93" t="s">
        <v>53</v>
      </c>
      <c r="G93" t="s">
        <v>50</v>
      </c>
      <c r="H93" t="s">
        <v>5</v>
      </c>
      <c r="I93" t="s">
        <v>5</v>
      </c>
      <c r="J93" s="1" t="s">
        <v>39</v>
      </c>
      <c r="K93" t="s">
        <v>39</v>
      </c>
      <c r="L93">
        <v>4</v>
      </c>
      <c r="M93" t="str">
        <f>IF(D93="Y","",IF(N93="Y",INDEX(#REF!,MATCH(C93,#REF!,0)),C93))</f>
        <v>6 - Junior Officer</v>
      </c>
      <c r="N93" t="s">
        <v>52</v>
      </c>
      <c r="O93" t="s">
        <v>40</v>
      </c>
      <c r="P93">
        <v>26</v>
      </c>
      <c r="Q93" t="s">
        <v>9</v>
      </c>
      <c r="R93" t="s">
        <v>9</v>
      </c>
      <c r="S93" t="s">
        <v>9</v>
      </c>
      <c r="T93" s="2">
        <v>42461</v>
      </c>
      <c r="U93">
        <v>4</v>
      </c>
      <c r="V93">
        <f t="shared" ca="1" si="1"/>
        <v>0.52525568235832099</v>
      </c>
    </row>
    <row r="94" spans="1:22">
      <c r="A94">
        <v>93</v>
      </c>
      <c r="B94" t="s">
        <v>1</v>
      </c>
      <c r="C94" t="s">
        <v>59</v>
      </c>
      <c r="D94" t="s">
        <v>52</v>
      </c>
      <c r="E94">
        <v>3</v>
      </c>
      <c r="F94" t="s">
        <v>53</v>
      </c>
      <c r="G94" t="s">
        <v>50</v>
      </c>
      <c r="H94" t="s">
        <v>7</v>
      </c>
      <c r="I94" t="s">
        <v>7</v>
      </c>
      <c r="J94" s="1" t="s">
        <v>39</v>
      </c>
      <c r="K94" t="s">
        <v>39</v>
      </c>
      <c r="L94">
        <v>3</v>
      </c>
      <c r="M94" t="str">
        <f>IF(D94="Y","",IF(N94="Y",INDEX(#REF!,MATCH(C94,#REF!,0)),C94))</f>
        <v>2 - Director</v>
      </c>
      <c r="N94" t="s">
        <v>52</v>
      </c>
      <c r="O94" t="s">
        <v>41</v>
      </c>
      <c r="P94">
        <v>39</v>
      </c>
      <c r="Q94" t="s">
        <v>9</v>
      </c>
      <c r="R94" t="s">
        <v>9</v>
      </c>
      <c r="S94" t="s">
        <v>9</v>
      </c>
      <c r="T94" s="2">
        <v>41730</v>
      </c>
      <c r="U94">
        <v>6</v>
      </c>
      <c r="V94">
        <f t="shared" ca="1" si="1"/>
        <v>0.72223889591698531</v>
      </c>
    </row>
    <row r="95" spans="1:22">
      <c r="A95">
        <v>94</v>
      </c>
      <c r="B95" t="s">
        <v>1</v>
      </c>
      <c r="C95" s="3" t="s">
        <v>57</v>
      </c>
      <c r="D95" t="s">
        <v>52</v>
      </c>
      <c r="E95">
        <v>2</v>
      </c>
      <c r="F95" t="s">
        <v>51</v>
      </c>
      <c r="G95" t="s">
        <v>50</v>
      </c>
      <c r="H95" t="s">
        <v>5</v>
      </c>
      <c r="I95" t="s">
        <v>5</v>
      </c>
      <c r="J95" s="1" t="s">
        <v>39</v>
      </c>
      <c r="K95" t="s">
        <v>39</v>
      </c>
      <c r="L95">
        <v>2</v>
      </c>
      <c r="M95" t="str">
        <f>IF(D95="Y","",IF(N95="Y",INDEX(#REF!,MATCH(C95,#REF!,0)),C95))</f>
        <v>4 - Manager</v>
      </c>
      <c r="N95" t="s">
        <v>52</v>
      </c>
      <c r="O95" t="s">
        <v>42</v>
      </c>
      <c r="P95">
        <v>44</v>
      </c>
      <c r="Q95" t="s">
        <v>9</v>
      </c>
      <c r="R95" t="s">
        <v>9</v>
      </c>
      <c r="S95" t="s">
        <v>9</v>
      </c>
      <c r="T95" s="2">
        <v>42826</v>
      </c>
      <c r="U95">
        <v>3</v>
      </c>
      <c r="V95">
        <f t="shared" ca="1" si="1"/>
        <v>0.99718932473985911</v>
      </c>
    </row>
    <row r="96" spans="1:22">
      <c r="A96">
        <v>95</v>
      </c>
      <c r="B96" t="s">
        <v>1</v>
      </c>
      <c r="C96" s="3" t="s">
        <v>58</v>
      </c>
      <c r="D96" t="s">
        <v>52</v>
      </c>
      <c r="E96">
        <v>4</v>
      </c>
      <c r="F96" t="s">
        <v>51</v>
      </c>
      <c r="G96" t="s">
        <v>50</v>
      </c>
      <c r="H96" t="s">
        <v>5</v>
      </c>
      <c r="I96" t="s">
        <v>5</v>
      </c>
      <c r="J96" s="1" t="s">
        <v>39</v>
      </c>
      <c r="K96" t="s">
        <v>39</v>
      </c>
      <c r="L96">
        <v>3</v>
      </c>
      <c r="M96" t="str">
        <f>IF(D96="Y","",IF(N96="Y",INDEX(#REF!,MATCH(C96,#REF!,0)),C96))</f>
        <v>3 - Senior Manager</v>
      </c>
      <c r="N96" t="s">
        <v>52</v>
      </c>
      <c r="O96" t="s">
        <v>42</v>
      </c>
      <c r="P96">
        <v>40</v>
      </c>
      <c r="Q96" t="s">
        <v>19</v>
      </c>
      <c r="R96" t="s">
        <v>45</v>
      </c>
      <c r="S96" t="s">
        <v>45</v>
      </c>
      <c r="T96" s="2">
        <v>41000</v>
      </c>
      <c r="U96">
        <v>8</v>
      </c>
      <c r="V96">
        <f t="shared" ca="1" si="1"/>
        <v>0.22636884523845779</v>
      </c>
    </row>
    <row r="97" spans="1:22">
      <c r="A97">
        <v>96</v>
      </c>
      <c r="B97" t="s">
        <v>1</v>
      </c>
      <c r="C97" t="s">
        <v>56</v>
      </c>
      <c r="D97" t="s">
        <v>52</v>
      </c>
      <c r="E97">
        <v>2</v>
      </c>
      <c r="F97" t="s">
        <v>53</v>
      </c>
      <c r="G97" t="s">
        <v>50</v>
      </c>
      <c r="H97" t="s">
        <v>5</v>
      </c>
      <c r="I97" t="s">
        <v>5</v>
      </c>
      <c r="J97" s="1" t="s">
        <v>39</v>
      </c>
      <c r="K97" t="s">
        <v>39</v>
      </c>
      <c r="L97">
        <v>1</v>
      </c>
      <c r="M97" t="str">
        <f>IF(D97="Y","",IF(N97="Y",INDEX(#REF!,MATCH(C97,#REF!,0)),C97))</f>
        <v>6 - Junior Officer</v>
      </c>
      <c r="N97" t="s">
        <v>52</v>
      </c>
      <c r="O97" t="s">
        <v>40</v>
      </c>
      <c r="P97">
        <v>25</v>
      </c>
      <c r="Q97" t="s">
        <v>20</v>
      </c>
      <c r="R97" t="s">
        <v>45</v>
      </c>
      <c r="S97" t="s">
        <v>45</v>
      </c>
      <c r="T97" s="2">
        <v>43556</v>
      </c>
      <c r="U97">
        <v>1</v>
      </c>
      <c r="V97">
        <f t="shared" ca="1" si="1"/>
        <v>0.54656909806598286</v>
      </c>
    </row>
    <row r="98" spans="1:22">
      <c r="A98">
        <v>97</v>
      </c>
      <c r="B98" t="s">
        <v>0</v>
      </c>
      <c r="C98" t="s">
        <v>57</v>
      </c>
      <c r="D98" t="s">
        <v>52</v>
      </c>
      <c r="E98">
        <v>2</v>
      </c>
      <c r="F98" t="s">
        <v>53</v>
      </c>
      <c r="G98" t="s">
        <v>50</v>
      </c>
      <c r="H98" t="s">
        <v>4</v>
      </c>
      <c r="I98" t="s">
        <v>4</v>
      </c>
      <c r="J98" s="1" t="s">
        <v>39</v>
      </c>
      <c r="K98" t="s">
        <v>39</v>
      </c>
      <c r="L98">
        <v>2</v>
      </c>
      <c r="M98" t="str">
        <f>IF(D98="Y","",IF(N98="Y",INDEX(#REF!,MATCH(C98,#REF!,0)),C98))</f>
        <v>4 - Manager</v>
      </c>
      <c r="N98" t="s">
        <v>52</v>
      </c>
      <c r="O98" t="s">
        <v>42</v>
      </c>
      <c r="P98">
        <v>40</v>
      </c>
      <c r="Q98" t="s">
        <v>19</v>
      </c>
      <c r="R98" t="s">
        <v>45</v>
      </c>
      <c r="S98" t="s">
        <v>45</v>
      </c>
      <c r="T98" s="2">
        <v>42826</v>
      </c>
      <c r="U98">
        <v>3</v>
      </c>
      <c r="V98">
        <f t="shared" ca="1" si="1"/>
        <v>0.43156936715095306</v>
      </c>
    </row>
    <row r="99" spans="1:22">
      <c r="A99">
        <v>98</v>
      </c>
      <c r="B99" t="s">
        <v>1</v>
      </c>
      <c r="C99" t="s">
        <v>59</v>
      </c>
      <c r="D99" t="s">
        <v>52</v>
      </c>
      <c r="E99">
        <v>3</v>
      </c>
      <c r="F99" t="s">
        <v>53</v>
      </c>
      <c r="G99" t="s">
        <v>50</v>
      </c>
      <c r="H99" t="s">
        <v>5</v>
      </c>
      <c r="I99" t="s">
        <v>5</v>
      </c>
      <c r="J99" s="1" t="s">
        <v>39</v>
      </c>
      <c r="K99" t="s">
        <v>39</v>
      </c>
      <c r="L99">
        <v>3</v>
      </c>
      <c r="M99" t="str">
        <f>IF(D99="Y","",IF(N99="Y",INDEX(#REF!,MATCH(C99,#REF!,0)),C99))</f>
        <v>2 - Director</v>
      </c>
      <c r="N99" t="s">
        <v>52</v>
      </c>
      <c r="O99" t="s">
        <v>42</v>
      </c>
      <c r="P99">
        <v>41</v>
      </c>
      <c r="Q99" t="s">
        <v>9</v>
      </c>
      <c r="R99" t="s">
        <v>9</v>
      </c>
      <c r="S99" t="s">
        <v>9</v>
      </c>
      <c r="T99" s="2">
        <v>40634</v>
      </c>
      <c r="U99">
        <v>9</v>
      </c>
      <c r="V99">
        <f t="shared" ca="1" si="1"/>
        <v>0.53631223539478656</v>
      </c>
    </row>
    <row r="100" spans="1:22">
      <c r="A100">
        <v>99</v>
      </c>
      <c r="B100" t="s">
        <v>0</v>
      </c>
      <c r="C100" t="s">
        <v>56</v>
      </c>
      <c r="D100" t="s">
        <v>52</v>
      </c>
      <c r="E100">
        <v>3</v>
      </c>
      <c r="F100" t="s">
        <v>53</v>
      </c>
      <c r="G100" t="s">
        <v>50</v>
      </c>
      <c r="H100" t="s">
        <v>7</v>
      </c>
      <c r="I100" t="s">
        <v>7</v>
      </c>
      <c r="J100" s="1" t="s">
        <v>39</v>
      </c>
      <c r="K100" t="s">
        <v>39</v>
      </c>
      <c r="L100">
        <v>3</v>
      </c>
      <c r="M100" t="str">
        <f>IF(D100="Y","",IF(N100="Y",INDEX(#REF!,MATCH(C100,#REF!,0)),C100))</f>
        <v>6 - Junior Officer</v>
      </c>
      <c r="N100" t="s">
        <v>52</v>
      </c>
      <c r="O100" t="s">
        <v>40</v>
      </c>
      <c r="P100">
        <v>28</v>
      </c>
      <c r="Q100" t="s">
        <v>20</v>
      </c>
      <c r="R100" t="s">
        <v>45</v>
      </c>
      <c r="S100" t="s">
        <v>45</v>
      </c>
      <c r="T100" s="2">
        <v>42826</v>
      </c>
      <c r="U100">
        <v>3</v>
      </c>
      <c r="V100">
        <f t="shared" ca="1" si="1"/>
        <v>0.81146318699338815</v>
      </c>
    </row>
    <row r="101" spans="1:22">
      <c r="A101">
        <v>100</v>
      </c>
      <c r="B101" t="s">
        <v>1</v>
      </c>
      <c r="C101" t="s">
        <v>58</v>
      </c>
      <c r="D101" t="s">
        <v>52</v>
      </c>
      <c r="E101">
        <v>3</v>
      </c>
      <c r="F101" t="s">
        <v>53</v>
      </c>
      <c r="G101" t="s">
        <v>50</v>
      </c>
      <c r="H101" t="s">
        <v>6</v>
      </c>
      <c r="I101" t="s">
        <v>6</v>
      </c>
      <c r="J101" s="1" t="s">
        <v>39</v>
      </c>
      <c r="K101" t="s">
        <v>39</v>
      </c>
      <c r="L101">
        <v>2</v>
      </c>
      <c r="M101" t="str">
        <f>IF(D101="Y","",IF(N101="Y",INDEX(#REF!,MATCH(C101,#REF!,0)),C101))</f>
        <v>3 - Senior Manager</v>
      </c>
      <c r="N101" t="s">
        <v>52</v>
      </c>
      <c r="O101" t="s">
        <v>41</v>
      </c>
      <c r="P101">
        <v>39</v>
      </c>
      <c r="Q101" t="s">
        <v>19</v>
      </c>
      <c r="R101" t="s">
        <v>45</v>
      </c>
      <c r="S101" t="s">
        <v>45</v>
      </c>
      <c r="T101" s="2">
        <v>41730</v>
      </c>
      <c r="U101">
        <v>6</v>
      </c>
      <c r="V101">
        <f t="shared" ca="1" si="1"/>
        <v>0.11185454799786798</v>
      </c>
    </row>
    <row r="102" spans="1:22">
      <c r="A102">
        <v>101</v>
      </c>
      <c r="B102" t="s">
        <v>0</v>
      </c>
      <c r="C102" t="s">
        <v>56</v>
      </c>
      <c r="D102" t="s">
        <v>52</v>
      </c>
      <c r="E102">
        <v>2</v>
      </c>
      <c r="F102" t="s">
        <v>53</v>
      </c>
      <c r="G102" t="s">
        <v>50</v>
      </c>
      <c r="H102" t="s">
        <v>7</v>
      </c>
      <c r="I102" t="s">
        <v>7</v>
      </c>
      <c r="J102" s="1" t="s">
        <v>39</v>
      </c>
      <c r="K102" t="s">
        <v>39</v>
      </c>
      <c r="L102">
        <v>2</v>
      </c>
      <c r="M102" t="str">
        <f>IF(D102="Y","",IF(N102="Y",INDEX(#REF!,MATCH(C102,#REF!,0)),C102))</f>
        <v>6 - Junior Officer</v>
      </c>
      <c r="N102" t="s">
        <v>52</v>
      </c>
      <c r="O102" t="s">
        <v>40</v>
      </c>
      <c r="P102">
        <v>22</v>
      </c>
      <c r="Q102" t="s">
        <v>19</v>
      </c>
      <c r="R102" t="s">
        <v>45</v>
      </c>
      <c r="S102" t="s">
        <v>45</v>
      </c>
      <c r="T102" s="2">
        <v>43191</v>
      </c>
      <c r="U102">
        <v>2</v>
      </c>
      <c r="V102">
        <f t="shared" ca="1" si="1"/>
        <v>0.15985538028199375</v>
      </c>
    </row>
    <row r="103" spans="1:22">
      <c r="A103">
        <v>102</v>
      </c>
      <c r="B103" t="s">
        <v>0</v>
      </c>
      <c r="C103" t="s">
        <v>57</v>
      </c>
      <c r="D103" t="s">
        <v>52</v>
      </c>
      <c r="E103">
        <v>2</v>
      </c>
      <c r="F103" t="s">
        <v>53</v>
      </c>
      <c r="G103" t="s">
        <v>50</v>
      </c>
      <c r="H103" t="s">
        <v>5</v>
      </c>
      <c r="I103" t="s">
        <v>5</v>
      </c>
      <c r="J103" s="1" t="s">
        <v>39</v>
      </c>
      <c r="K103" t="s">
        <v>39</v>
      </c>
      <c r="L103">
        <v>2</v>
      </c>
      <c r="M103" t="str">
        <f>IF(D103="Y","",IF(N103="Y",INDEX(#REF!,MATCH(C103,#REF!,0)),C103))</f>
        <v>4 - Manager</v>
      </c>
      <c r="N103" t="s">
        <v>52</v>
      </c>
      <c r="O103" t="s">
        <v>42</v>
      </c>
      <c r="P103">
        <v>40</v>
      </c>
      <c r="Q103" t="s">
        <v>16</v>
      </c>
      <c r="R103" t="s">
        <v>48</v>
      </c>
      <c r="S103" t="s">
        <v>49</v>
      </c>
      <c r="T103" s="2">
        <v>43191</v>
      </c>
      <c r="U103">
        <v>2</v>
      </c>
      <c r="V103">
        <f t="shared" ca="1" si="1"/>
        <v>2.3513801027909453E-2</v>
      </c>
    </row>
    <row r="104" spans="1:22">
      <c r="A104">
        <v>103</v>
      </c>
      <c r="B104" t="s">
        <v>1</v>
      </c>
      <c r="C104" t="s">
        <v>56</v>
      </c>
      <c r="D104" t="s">
        <v>52</v>
      </c>
      <c r="E104">
        <v>2</v>
      </c>
      <c r="F104" t="s">
        <v>53</v>
      </c>
      <c r="G104" t="s">
        <v>50</v>
      </c>
      <c r="H104" t="s">
        <v>7</v>
      </c>
      <c r="I104" t="s">
        <v>7</v>
      </c>
      <c r="J104" s="1" t="s">
        <v>39</v>
      </c>
      <c r="K104" t="s">
        <v>39</v>
      </c>
      <c r="L104">
        <v>5</v>
      </c>
      <c r="M104" t="str">
        <f>IF(D104="Y","",IF(N104="Y",INDEX(#REF!,MATCH(C104,#REF!,0)),C104))</f>
        <v>6 - Junior Officer</v>
      </c>
      <c r="N104" t="s">
        <v>52</v>
      </c>
      <c r="O104" t="s">
        <v>40</v>
      </c>
      <c r="P104">
        <v>22</v>
      </c>
      <c r="Q104" t="s">
        <v>20</v>
      </c>
      <c r="R104" t="s">
        <v>45</v>
      </c>
      <c r="S104" t="s">
        <v>45</v>
      </c>
      <c r="T104" s="2">
        <v>42095</v>
      </c>
      <c r="U104">
        <v>5</v>
      </c>
      <c r="V104">
        <f t="shared" ca="1" si="1"/>
        <v>0.45531645340820071</v>
      </c>
    </row>
    <row r="105" spans="1:22">
      <c r="A105">
        <v>104</v>
      </c>
      <c r="B105" t="s">
        <v>0</v>
      </c>
      <c r="C105" t="s">
        <v>61</v>
      </c>
      <c r="D105" t="s">
        <v>52</v>
      </c>
      <c r="E105">
        <v>2</v>
      </c>
      <c r="F105" t="s">
        <v>53</v>
      </c>
      <c r="G105" t="s">
        <v>50</v>
      </c>
      <c r="H105" t="s">
        <v>7</v>
      </c>
      <c r="I105" t="s">
        <v>7</v>
      </c>
      <c r="J105" s="1" t="s">
        <v>39</v>
      </c>
      <c r="K105" t="s">
        <v>39</v>
      </c>
      <c r="L105">
        <v>3</v>
      </c>
      <c r="M105" t="str">
        <f>IF(D105="Y","",IF(N105="Y",INDEX(#REF!,MATCH(C105,#REF!,0)),C105))</f>
        <v>5 - Senior Officer</v>
      </c>
      <c r="N105" t="s">
        <v>52</v>
      </c>
      <c r="O105" t="s">
        <v>40</v>
      </c>
      <c r="P105">
        <v>28</v>
      </c>
      <c r="Q105" t="s">
        <v>9</v>
      </c>
      <c r="R105" t="s">
        <v>9</v>
      </c>
      <c r="S105" t="s">
        <v>9</v>
      </c>
      <c r="T105" s="2">
        <v>42095</v>
      </c>
      <c r="U105">
        <v>5</v>
      </c>
      <c r="V105">
        <f t="shared" ca="1" si="1"/>
        <v>0.89944623974549076</v>
      </c>
    </row>
    <row r="106" spans="1:22">
      <c r="A106">
        <v>105</v>
      </c>
      <c r="B106" t="s">
        <v>1</v>
      </c>
      <c r="C106" t="s">
        <v>57</v>
      </c>
      <c r="D106" t="s">
        <v>50</v>
      </c>
      <c r="F106" t="s">
        <v>53</v>
      </c>
      <c r="G106" t="s">
        <v>52</v>
      </c>
      <c r="H106" t="s">
        <v>7</v>
      </c>
      <c r="I106" t="s">
        <v>7</v>
      </c>
      <c r="J106" s="1" t="s">
        <v>39</v>
      </c>
      <c r="K106" t="s">
        <v>39</v>
      </c>
      <c r="L106">
        <v>0</v>
      </c>
      <c r="M106" t="str">
        <f>IF(D106="Y","",IF(N106="Y",INDEX(#REF!,MATCH(C106,#REF!,0)),C106))</f>
        <v/>
      </c>
      <c r="N106" t="s">
        <v>52</v>
      </c>
      <c r="O106" t="s">
        <v>41</v>
      </c>
      <c r="P106">
        <v>30</v>
      </c>
      <c r="Q106" t="s">
        <v>20</v>
      </c>
      <c r="R106" t="s">
        <v>45</v>
      </c>
      <c r="S106" t="s">
        <v>45</v>
      </c>
      <c r="T106" s="2">
        <v>43922</v>
      </c>
      <c r="U106">
        <v>0</v>
      </c>
      <c r="V106">
        <f t="shared" ca="1" si="1"/>
        <v>0.21248830370676119</v>
      </c>
    </row>
    <row r="107" spans="1:22">
      <c r="A107">
        <v>106</v>
      </c>
      <c r="B107" t="s">
        <v>1</v>
      </c>
      <c r="C107" t="s">
        <v>59</v>
      </c>
      <c r="D107" t="s">
        <v>52</v>
      </c>
      <c r="E107">
        <v>1</v>
      </c>
      <c r="F107" t="s">
        <v>53</v>
      </c>
      <c r="G107" t="s">
        <v>50</v>
      </c>
      <c r="H107" t="s">
        <v>7</v>
      </c>
      <c r="I107" t="s">
        <v>7</v>
      </c>
      <c r="J107" s="1" t="s">
        <v>39</v>
      </c>
      <c r="K107" t="s">
        <v>39</v>
      </c>
      <c r="L107">
        <v>3</v>
      </c>
      <c r="M107" t="str">
        <f>IF(D107="Y","",IF(N107="Y",INDEX(#REF!,MATCH(C107,#REF!,0)),C107))</f>
        <v>2 - Director</v>
      </c>
      <c r="N107" t="s">
        <v>52</v>
      </c>
      <c r="O107" t="s">
        <v>41</v>
      </c>
      <c r="P107">
        <v>35</v>
      </c>
      <c r="Q107" t="s">
        <v>20</v>
      </c>
      <c r="R107" t="s">
        <v>45</v>
      </c>
      <c r="S107" t="s">
        <v>45</v>
      </c>
      <c r="T107" s="2">
        <v>42826</v>
      </c>
      <c r="U107">
        <v>3</v>
      </c>
      <c r="V107">
        <f t="shared" ca="1" si="1"/>
        <v>0.22452795011181126</v>
      </c>
    </row>
    <row r="108" spans="1:22">
      <c r="A108">
        <v>107</v>
      </c>
      <c r="B108" t="s">
        <v>0</v>
      </c>
      <c r="C108" t="s">
        <v>56</v>
      </c>
      <c r="D108" t="s">
        <v>52</v>
      </c>
      <c r="E108">
        <v>2</v>
      </c>
      <c r="F108" t="s">
        <v>53</v>
      </c>
      <c r="G108" t="s">
        <v>50</v>
      </c>
      <c r="H108" t="s">
        <v>5</v>
      </c>
      <c r="I108" t="s">
        <v>5</v>
      </c>
      <c r="J108" s="1" t="s">
        <v>39</v>
      </c>
      <c r="K108" t="s">
        <v>39</v>
      </c>
      <c r="L108">
        <v>2</v>
      </c>
      <c r="M108" t="str">
        <f>IF(D108="Y","",IF(N108="Y",INDEX(#REF!,MATCH(C108,#REF!,0)),C108))</f>
        <v>6 - Junior Officer</v>
      </c>
      <c r="N108" t="s">
        <v>52</v>
      </c>
      <c r="O108" t="s">
        <v>40</v>
      </c>
      <c r="P108">
        <v>23</v>
      </c>
      <c r="Q108" t="s">
        <v>9</v>
      </c>
      <c r="R108" t="s">
        <v>9</v>
      </c>
      <c r="S108" t="s">
        <v>9</v>
      </c>
      <c r="T108" s="2">
        <v>43191</v>
      </c>
      <c r="U108">
        <v>2</v>
      </c>
      <c r="V108">
        <f t="shared" ca="1" si="1"/>
        <v>0.7306091883540049</v>
      </c>
    </row>
    <row r="109" spans="1:22">
      <c r="A109">
        <v>108</v>
      </c>
      <c r="B109" t="s">
        <v>1</v>
      </c>
      <c r="C109" t="s">
        <v>58</v>
      </c>
      <c r="D109" t="s">
        <v>52</v>
      </c>
      <c r="E109">
        <v>3</v>
      </c>
      <c r="F109" t="s">
        <v>53</v>
      </c>
      <c r="G109" t="s">
        <v>50</v>
      </c>
      <c r="H109" t="s">
        <v>5</v>
      </c>
      <c r="I109" t="s">
        <v>5</v>
      </c>
      <c r="J109" s="1" t="s">
        <v>39</v>
      </c>
      <c r="K109" t="s">
        <v>39</v>
      </c>
      <c r="L109">
        <v>6</v>
      </c>
      <c r="M109" t="str">
        <f>IF(D109="Y","",IF(N109="Y",INDEX(#REF!,MATCH(C109,#REF!,0)),C109))</f>
        <v>3 - Senior Manager</v>
      </c>
      <c r="N109" t="s">
        <v>52</v>
      </c>
      <c r="O109" t="s">
        <v>41</v>
      </c>
      <c r="P109">
        <v>34</v>
      </c>
      <c r="Q109" t="s">
        <v>20</v>
      </c>
      <c r="R109" t="s">
        <v>45</v>
      </c>
      <c r="S109" t="s">
        <v>45</v>
      </c>
      <c r="T109" s="2">
        <v>41730</v>
      </c>
      <c r="U109">
        <v>6</v>
      </c>
      <c r="V109">
        <f t="shared" ca="1" si="1"/>
        <v>0.57057845153423348</v>
      </c>
    </row>
    <row r="110" spans="1:22">
      <c r="A110">
        <v>109</v>
      </c>
      <c r="B110" t="s">
        <v>1</v>
      </c>
      <c r="C110" t="s">
        <v>56</v>
      </c>
      <c r="D110" t="s">
        <v>50</v>
      </c>
      <c r="F110" t="s">
        <v>53</v>
      </c>
      <c r="G110" t="s">
        <v>52</v>
      </c>
      <c r="H110" t="s">
        <v>7</v>
      </c>
      <c r="I110" t="s">
        <v>7</v>
      </c>
      <c r="J110" s="1" t="s">
        <v>39</v>
      </c>
      <c r="K110" t="s">
        <v>39</v>
      </c>
      <c r="L110">
        <v>0</v>
      </c>
      <c r="M110" t="str">
        <f>IF(D110="Y","",IF(N110="Y",INDEX(#REF!,MATCH(C110,#REF!,0)),C110))</f>
        <v/>
      </c>
      <c r="N110" t="s">
        <v>52</v>
      </c>
      <c r="O110" t="s">
        <v>40</v>
      </c>
      <c r="P110">
        <v>24</v>
      </c>
      <c r="Q110" t="s">
        <v>9</v>
      </c>
      <c r="R110" t="s">
        <v>9</v>
      </c>
      <c r="S110" t="s">
        <v>9</v>
      </c>
      <c r="T110" s="2">
        <v>43922</v>
      </c>
      <c r="U110">
        <v>0</v>
      </c>
      <c r="V110">
        <f t="shared" ca="1" si="1"/>
        <v>0.36325317212789054</v>
      </c>
    </row>
    <row r="111" spans="1:22">
      <c r="A111">
        <v>110</v>
      </c>
      <c r="B111" t="s">
        <v>1</v>
      </c>
      <c r="C111" t="s">
        <v>61</v>
      </c>
      <c r="D111" t="s">
        <v>52</v>
      </c>
      <c r="E111">
        <v>2</v>
      </c>
      <c r="F111" t="s">
        <v>53</v>
      </c>
      <c r="G111" t="s">
        <v>50</v>
      </c>
      <c r="H111" t="s">
        <v>6</v>
      </c>
      <c r="I111" t="s">
        <v>6</v>
      </c>
      <c r="J111" s="1" t="s">
        <v>39</v>
      </c>
      <c r="K111" t="s">
        <v>39</v>
      </c>
      <c r="L111">
        <v>3</v>
      </c>
      <c r="M111" t="str">
        <f>IF(D111="Y","",IF(N111="Y",INDEX(#REF!,MATCH(C111,#REF!,0)),C111))</f>
        <v>5 - Senior Officer</v>
      </c>
      <c r="N111" t="s">
        <v>52</v>
      </c>
      <c r="O111" t="s">
        <v>40</v>
      </c>
      <c r="P111">
        <v>28</v>
      </c>
      <c r="Q111" t="s">
        <v>9</v>
      </c>
      <c r="R111" t="s">
        <v>9</v>
      </c>
      <c r="S111" t="s">
        <v>9</v>
      </c>
      <c r="T111" s="2">
        <v>42461</v>
      </c>
      <c r="U111">
        <v>4</v>
      </c>
      <c r="V111">
        <f t="shared" ca="1" si="1"/>
        <v>9.9009884160554673E-2</v>
      </c>
    </row>
    <row r="112" spans="1:22">
      <c r="A112">
        <v>111</v>
      </c>
      <c r="B112" t="s">
        <v>0</v>
      </c>
      <c r="C112" t="s">
        <v>61</v>
      </c>
      <c r="D112" t="s">
        <v>50</v>
      </c>
      <c r="F112" t="s">
        <v>53</v>
      </c>
      <c r="G112" t="s">
        <v>52</v>
      </c>
      <c r="H112" t="s">
        <v>3</v>
      </c>
      <c r="I112" t="s">
        <v>3</v>
      </c>
      <c r="J112" s="1" t="s">
        <v>39</v>
      </c>
      <c r="K112" t="s">
        <v>39</v>
      </c>
      <c r="L112">
        <v>0</v>
      </c>
      <c r="M112" t="str">
        <f>IF(D112="Y","",IF(N112="Y",INDEX(#REF!,MATCH(C112,#REF!,0)),C112))</f>
        <v/>
      </c>
      <c r="N112" t="s">
        <v>52</v>
      </c>
      <c r="O112" t="s">
        <v>41</v>
      </c>
      <c r="P112">
        <v>33</v>
      </c>
      <c r="Q112" t="s">
        <v>19</v>
      </c>
      <c r="R112" t="s">
        <v>45</v>
      </c>
      <c r="S112" t="s">
        <v>45</v>
      </c>
      <c r="T112" s="2">
        <v>43922</v>
      </c>
      <c r="U112">
        <v>0</v>
      </c>
      <c r="V112">
        <f t="shared" ca="1" si="1"/>
        <v>0.73628336800299887</v>
      </c>
    </row>
    <row r="113" spans="1:22">
      <c r="A113">
        <v>112</v>
      </c>
      <c r="B113" t="s">
        <v>0</v>
      </c>
      <c r="C113" t="s">
        <v>56</v>
      </c>
      <c r="D113" t="s">
        <v>52</v>
      </c>
      <c r="E113">
        <v>2</v>
      </c>
      <c r="F113" t="s">
        <v>53</v>
      </c>
      <c r="G113" t="s">
        <v>50</v>
      </c>
      <c r="H113" t="s">
        <v>5</v>
      </c>
      <c r="I113" t="s">
        <v>5</v>
      </c>
      <c r="J113" s="1" t="s">
        <v>39</v>
      </c>
      <c r="K113" t="s">
        <v>39</v>
      </c>
      <c r="L113">
        <v>1</v>
      </c>
      <c r="M113" t="str">
        <f>IF(D113="Y","",IF(N113="Y",INDEX(#REF!,MATCH(C113,#REF!,0)),C113))</f>
        <v>6 - Junior Officer</v>
      </c>
      <c r="N113" t="s">
        <v>52</v>
      </c>
      <c r="O113" t="s">
        <v>40</v>
      </c>
      <c r="P113">
        <v>27</v>
      </c>
      <c r="Q113" t="s">
        <v>9</v>
      </c>
      <c r="R113" t="s">
        <v>9</v>
      </c>
      <c r="S113" t="s">
        <v>9</v>
      </c>
      <c r="T113" s="2">
        <v>43556</v>
      </c>
      <c r="U113">
        <v>1</v>
      </c>
      <c r="V113">
        <f t="shared" ca="1" si="1"/>
        <v>0.99490294061759688</v>
      </c>
    </row>
    <row r="114" spans="1:22">
      <c r="A114">
        <v>113</v>
      </c>
      <c r="B114" t="s">
        <v>1</v>
      </c>
      <c r="C114" t="s">
        <v>59</v>
      </c>
      <c r="D114" t="s">
        <v>52</v>
      </c>
      <c r="E114">
        <v>3</v>
      </c>
      <c r="F114" t="s">
        <v>53</v>
      </c>
      <c r="G114" t="s">
        <v>50</v>
      </c>
      <c r="H114" t="s">
        <v>8</v>
      </c>
      <c r="I114" t="s">
        <v>8</v>
      </c>
      <c r="J114" s="1" t="s">
        <v>39</v>
      </c>
      <c r="K114" t="s">
        <v>39</v>
      </c>
      <c r="L114">
        <v>4</v>
      </c>
      <c r="M114" t="str">
        <f>IF(D114="Y","",IF(N114="Y",INDEX(#REF!,MATCH(C114,#REF!,0)),C114))</f>
        <v>2 - Director</v>
      </c>
      <c r="N114" t="s">
        <v>52</v>
      </c>
      <c r="O114" t="s">
        <v>42</v>
      </c>
      <c r="P114">
        <v>41</v>
      </c>
      <c r="Q114" t="s">
        <v>9</v>
      </c>
      <c r="R114" t="s">
        <v>9</v>
      </c>
      <c r="S114" t="s">
        <v>9</v>
      </c>
      <c r="T114" s="2">
        <v>41000</v>
      </c>
      <c r="U114">
        <v>8</v>
      </c>
      <c r="V114">
        <f t="shared" ca="1" si="1"/>
        <v>0.72592565408546639</v>
      </c>
    </row>
    <row r="115" spans="1:22">
      <c r="A115">
        <v>114</v>
      </c>
      <c r="B115" t="s">
        <v>1</v>
      </c>
      <c r="C115" t="s">
        <v>57</v>
      </c>
      <c r="D115" t="s">
        <v>52</v>
      </c>
      <c r="E115">
        <v>3</v>
      </c>
      <c r="F115" t="s">
        <v>53</v>
      </c>
      <c r="G115" t="s">
        <v>50</v>
      </c>
      <c r="H115" t="s">
        <v>7</v>
      </c>
      <c r="I115" t="s">
        <v>7</v>
      </c>
      <c r="J115" s="1" t="s">
        <v>39</v>
      </c>
      <c r="K115" t="s">
        <v>39</v>
      </c>
      <c r="L115">
        <v>3</v>
      </c>
      <c r="M115" t="str">
        <f>IF(D115="Y","",IF(N115="Y",INDEX(#REF!,MATCH(C115,#REF!,0)),C115))</f>
        <v>4 - Manager</v>
      </c>
      <c r="N115" t="s">
        <v>52</v>
      </c>
      <c r="O115" t="s">
        <v>41</v>
      </c>
      <c r="P115">
        <v>31</v>
      </c>
      <c r="Q115" t="s">
        <v>9</v>
      </c>
      <c r="R115" t="s">
        <v>9</v>
      </c>
      <c r="S115" t="s">
        <v>9</v>
      </c>
      <c r="T115" s="2">
        <v>41365</v>
      </c>
      <c r="U115">
        <v>7</v>
      </c>
      <c r="V115">
        <f t="shared" ca="1" si="1"/>
        <v>0.38945218503040546</v>
      </c>
    </row>
    <row r="116" spans="1:22">
      <c r="A116">
        <v>115</v>
      </c>
      <c r="B116" t="s">
        <v>1</v>
      </c>
      <c r="C116" s="3" t="s">
        <v>59</v>
      </c>
      <c r="D116" t="s">
        <v>52</v>
      </c>
      <c r="E116">
        <v>3</v>
      </c>
      <c r="F116" t="s">
        <v>51</v>
      </c>
      <c r="G116" t="s">
        <v>50</v>
      </c>
      <c r="H116" t="s">
        <v>3</v>
      </c>
      <c r="I116" t="s">
        <v>3</v>
      </c>
      <c r="J116" s="1" t="s">
        <v>39</v>
      </c>
      <c r="K116" t="s">
        <v>39</v>
      </c>
      <c r="L116">
        <v>3</v>
      </c>
      <c r="M116" t="str">
        <f>IF(D116="Y","",IF(N116="Y",INDEX(#REF!,MATCH(C116,#REF!,0)),C116))</f>
        <v>2 - Director</v>
      </c>
      <c r="N116" t="s">
        <v>52</v>
      </c>
      <c r="O116" t="s">
        <v>42</v>
      </c>
      <c r="P116">
        <v>49</v>
      </c>
      <c r="Q116" t="s">
        <v>9</v>
      </c>
      <c r="R116" t="s">
        <v>9</v>
      </c>
      <c r="S116" t="s">
        <v>9</v>
      </c>
      <c r="T116" s="2">
        <v>41730</v>
      </c>
      <c r="U116">
        <v>6</v>
      </c>
      <c r="V116">
        <f t="shared" ca="1" si="1"/>
        <v>0.37342567947999294</v>
      </c>
    </row>
    <row r="117" spans="1:22">
      <c r="A117">
        <v>116</v>
      </c>
      <c r="B117" t="s">
        <v>1</v>
      </c>
      <c r="C117" t="s">
        <v>61</v>
      </c>
      <c r="D117" t="s">
        <v>52</v>
      </c>
      <c r="E117">
        <v>3</v>
      </c>
      <c r="F117" t="s">
        <v>53</v>
      </c>
      <c r="G117" t="s">
        <v>50</v>
      </c>
      <c r="H117" t="s">
        <v>7</v>
      </c>
      <c r="I117" t="s">
        <v>7</v>
      </c>
      <c r="J117" s="1" t="s">
        <v>39</v>
      </c>
      <c r="K117" t="s">
        <v>39</v>
      </c>
      <c r="L117">
        <v>2</v>
      </c>
      <c r="M117" t="str">
        <f>IF(D117="Y","",IF(N117="Y",INDEX(#REF!,MATCH(C117,#REF!,0)),C117))</f>
        <v>5 - Senior Officer</v>
      </c>
      <c r="N117" t="s">
        <v>52</v>
      </c>
      <c r="O117" t="s">
        <v>40</v>
      </c>
      <c r="P117">
        <v>26</v>
      </c>
      <c r="Q117" t="s">
        <v>20</v>
      </c>
      <c r="R117" t="s">
        <v>45</v>
      </c>
      <c r="S117" t="s">
        <v>45</v>
      </c>
      <c r="T117" s="2">
        <v>43191</v>
      </c>
      <c r="U117">
        <v>2</v>
      </c>
      <c r="V117">
        <f t="shared" ca="1" si="1"/>
        <v>0.91344671869049343</v>
      </c>
    </row>
    <row r="118" spans="1:22">
      <c r="A118">
        <v>117</v>
      </c>
      <c r="B118" t="s">
        <v>1</v>
      </c>
      <c r="C118" t="s">
        <v>57</v>
      </c>
      <c r="D118" t="s">
        <v>52</v>
      </c>
      <c r="E118">
        <v>2</v>
      </c>
      <c r="F118" t="s">
        <v>53</v>
      </c>
      <c r="G118" t="s">
        <v>50</v>
      </c>
      <c r="H118" t="s">
        <v>6</v>
      </c>
      <c r="I118" t="s">
        <v>6</v>
      </c>
      <c r="J118" s="1" t="s">
        <v>39</v>
      </c>
      <c r="K118" t="s">
        <v>39</v>
      </c>
      <c r="L118">
        <v>1</v>
      </c>
      <c r="M118" t="e">
        <f>IF(D118="Y","",IF(N118="Y",INDEX(#REF!,MATCH(C118,#REF!,0)),C118))</f>
        <v>#REF!</v>
      </c>
      <c r="N118" t="s">
        <v>50</v>
      </c>
      <c r="O118" t="s">
        <v>41</v>
      </c>
      <c r="P118">
        <v>33</v>
      </c>
      <c r="Q118" t="s">
        <v>20</v>
      </c>
      <c r="R118" t="s">
        <v>45</v>
      </c>
      <c r="S118" t="s">
        <v>45</v>
      </c>
      <c r="T118" s="2">
        <v>41365</v>
      </c>
      <c r="U118">
        <v>7</v>
      </c>
      <c r="V118">
        <f t="shared" ca="1" si="1"/>
        <v>0.770926038990985</v>
      </c>
    </row>
    <row r="119" spans="1:22">
      <c r="A119">
        <v>118</v>
      </c>
      <c r="B119" t="s">
        <v>0</v>
      </c>
      <c r="C119" t="s">
        <v>58</v>
      </c>
      <c r="D119" t="s">
        <v>52</v>
      </c>
      <c r="F119" t="s">
        <v>51</v>
      </c>
      <c r="G119" t="s">
        <v>50</v>
      </c>
      <c r="H119" t="s">
        <v>7</v>
      </c>
      <c r="I119" t="s">
        <v>7</v>
      </c>
      <c r="J119" s="1" t="s">
        <v>39</v>
      </c>
      <c r="K119" t="s">
        <v>39</v>
      </c>
      <c r="L119">
        <v>2</v>
      </c>
      <c r="M119" t="str">
        <f>IF(D119="Y","",IF(N119="Y",INDEX(#REF!,MATCH(C119,#REF!,0)),C119))</f>
        <v>3 - Senior Manager</v>
      </c>
      <c r="N119" t="s">
        <v>52</v>
      </c>
      <c r="O119" t="s">
        <v>42</v>
      </c>
      <c r="P119">
        <v>41</v>
      </c>
      <c r="Q119" t="s">
        <v>9</v>
      </c>
      <c r="R119" t="s">
        <v>9</v>
      </c>
      <c r="S119" t="s">
        <v>9</v>
      </c>
      <c r="T119" s="2">
        <v>41000</v>
      </c>
      <c r="U119">
        <v>8</v>
      </c>
      <c r="V119">
        <f t="shared" ca="1" si="1"/>
        <v>0.45793042446464072</v>
      </c>
    </row>
    <row r="120" spans="1:22">
      <c r="A120">
        <v>119</v>
      </c>
      <c r="B120" t="s">
        <v>0</v>
      </c>
      <c r="C120" t="s">
        <v>56</v>
      </c>
      <c r="D120" t="s">
        <v>52</v>
      </c>
      <c r="E120">
        <v>2</v>
      </c>
      <c r="F120" t="s">
        <v>53</v>
      </c>
      <c r="G120" t="s">
        <v>50</v>
      </c>
      <c r="H120" t="s">
        <v>5</v>
      </c>
      <c r="I120" t="s">
        <v>5</v>
      </c>
      <c r="J120" s="1">
        <v>0.8</v>
      </c>
      <c r="K120" t="s">
        <v>38</v>
      </c>
      <c r="L120">
        <v>1</v>
      </c>
      <c r="M120" t="str">
        <f>IF(D120="Y","",IF(N120="Y",INDEX(#REF!,MATCH(C120,#REF!,0)),C120))</f>
        <v>6 - Junior Officer</v>
      </c>
      <c r="N120" t="s">
        <v>52</v>
      </c>
      <c r="O120" t="s">
        <v>40</v>
      </c>
      <c r="P120">
        <v>22</v>
      </c>
      <c r="Q120" t="s">
        <v>20</v>
      </c>
      <c r="R120" t="s">
        <v>45</v>
      </c>
      <c r="S120" t="s">
        <v>45</v>
      </c>
      <c r="T120" s="2">
        <v>43556</v>
      </c>
      <c r="U120">
        <v>1</v>
      </c>
      <c r="V120">
        <f t="shared" ca="1" si="1"/>
        <v>0.57366542069823734</v>
      </c>
    </row>
    <row r="121" spans="1:22">
      <c r="A121">
        <v>120</v>
      </c>
      <c r="B121" t="s">
        <v>1</v>
      </c>
      <c r="C121" t="s">
        <v>61</v>
      </c>
      <c r="D121" t="s">
        <v>52</v>
      </c>
      <c r="E121">
        <v>2</v>
      </c>
      <c r="F121" t="s">
        <v>53</v>
      </c>
      <c r="G121" t="s">
        <v>50</v>
      </c>
      <c r="H121" t="s">
        <v>7</v>
      </c>
      <c r="I121" t="s">
        <v>7</v>
      </c>
      <c r="J121" s="1" t="s">
        <v>39</v>
      </c>
      <c r="K121" t="s">
        <v>39</v>
      </c>
      <c r="L121">
        <v>4</v>
      </c>
      <c r="M121" t="str">
        <f>IF(D121="Y","",IF(N121="Y",INDEX(#REF!,MATCH(C121,#REF!,0)),C121))</f>
        <v>5 - Senior Officer</v>
      </c>
      <c r="N121" t="s">
        <v>52</v>
      </c>
      <c r="O121" t="s">
        <v>41</v>
      </c>
      <c r="P121">
        <v>34</v>
      </c>
      <c r="Q121" t="s">
        <v>9</v>
      </c>
      <c r="R121" t="s">
        <v>9</v>
      </c>
      <c r="S121" t="s">
        <v>9</v>
      </c>
      <c r="T121" s="2">
        <v>41730</v>
      </c>
      <c r="U121">
        <v>6</v>
      </c>
      <c r="V121">
        <f t="shared" ca="1" si="1"/>
        <v>0.85708247107806534</v>
      </c>
    </row>
    <row r="122" spans="1:22">
      <c r="A122">
        <v>121</v>
      </c>
      <c r="B122" t="s">
        <v>1</v>
      </c>
      <c r="C122" s="3" t="s">
        <v>56</v>
      </c>
      <c r="D122" t="s">
        <v>52</v>
      </c>
      <c r="E122">
        <v>3</v>
      </c>
      <c r="F122" t="s">
        <v>51</v>
      </c>
      <c r="G122" t="s">
        <v>50</v>
      </c>
      <c r="H122" t="s">
        <v>5</v>
      </c>
      <c r="I122" t="s">
        <v>5</v>
      </c>
      <c r="J122" s="1" t="s">
        <v>39</v>
      </c>
      <c r="K122" t="s">
        <v>39</v>
      </c>
      <c r="L122">
        <v>3</v>
      </c>
      <c r="M122" t="str">
        <f>IF(D122="Y","",IF(N122="Y",INDEX(#REF!,MATCH(C122,#REF!,0)),C122))</f>
        <v>6 - Junior Officer</v>
      </c>
      <c r="N122" t="s">
        <v>52</v>
      </c>
      <c r="O122" t="s">
        <v>42</v>
      </c>
      <c r="P122">
        <v>46</v>
      </c>
      <c r="Q122" t="s">
        <v>9</v>
      </c>
      <c r="R122" t="s">
        <v>9</v>
      </c>
      <c r="S122" t="s">
        <v>9</v>
      </c>
      <c r="T122" s="2">
        <v>42826</v>
      </c>
      <c r="U122">
        <v>3</v>
      </c>
      <c r="V122">
        <f t="shared" ca="1" si="1"/>
        <v>0.22360661288603301</v>
      </c>
    </row>
    <row r="123" spans="1:22">
      <c r="A123">
        <v>122</v>
      </c>
      <c r="B123" t="s">
        <v>1</v>
      </c>
      <c r="C123" t="s">
        <v>58</v>
      </c>
      <c r="D123" t="s">
        <v>52</v>
      </c>
      <c r="E123">
        <v>2</v>
      </c>
      <c r="F123" t="s">
        <v>53</v>
      </c>
      <c r="G123" t="s">
        <v>50</v>
      </c>
      <c r="H123" t="s">
        <v>7</v>
      </c>
      <c r="I123" t="s">
        <v>7</v>
      </c>
      <c r="J123" s="1" t="s">
        <v>39</v>
      </c>
      <c r="K123" t="s">
        <v>39</v>
      </c>
      <c r="L123">
        <v>4</v>
      </c>
      <c r="M123" t="str">
        <f>IF(D123="Y","",IF(N123="Y",INDEX(#REF!,MATCH(C123,#REF!,0)),C123))</f>
        <v>3 - Senior Manager</v>
      </c>
      <c r="N123" t="s">
        <v>52</v>
      </c>
      <c r="O123" t="s">
        <v>41</v>
      </c>
      <c r="P123">
        <v>35</v>
      </c>
      <c r="Q123" t="s">
        <v>9</v>
      </c>
      <c r="R123" t="s">
        <v>9</v>
      </c>
      <c r="S123" t="s">
        <v>9</v>
      </c>
      <c r="T123" s="2">
        <v>42095</v>
      </c>
      <c r="U123">
        <v>5</v>
      </c>
      <c r="V123">
        <f t="shared" ca="1" si="1"/>
        <v>0.55377930214039151</v>
      </c>
    </row>
    <row r="124" spans="1:22">
      <c r="A124">
        <v>123</v>
      </c>
      <c r="B124" t="s">
        <v>0</v>
      </c>
      <c r="C124" t="s">
        <v>56</v>
      </c>
      <c r="D124" t="s">
        <v>52</v>
      </c>
      <c r="E124">
        <v>3</v>
      </c>
      <c r="F124" t="s">
        <v>53</v>
      </c>
      <c r="G124" t="s">
        <v>50</v>
      </c>
      <c r="H124" t="s">
        <v>7</v>
      </c>
      <c r="I124" t="s">
        <v>7</v>
      </c>
      <c r="J124" s="1" t="s">
        <v>39</v>
      </c>
      <c r="K124" t="s">
        <v>39</v>
      </c>
      <c r="L124">
        <v>2</v>
      </c>
      <c r="M124" t="str">
        <f>IF(D124="Y","",IF(N124="Y",INDEX(#REF!,MATCH(C124,#REF!,0)),C124))</f>
        <v>6 - Junior Officer</v>
      </c>
      <c r="N124" t="s">
        <v>52</v>
      </c>
      <c r="O124" t="s">
        <v>41</v>
      </c>
      <c r="P124">
        <v>30</v>
      </c>
      <c r="Q124" t="s">
        <v>13</v>
      </c>
      <c r="R124" t="s">
        <v>48</v>
      </c>
      <c r="S124" t="s">
        <v>49</v>
      </c>
      <c r="T124" s="2">
        <v>43191</v>
      </c>
      <c r="U124">
        <v>2</v>
      </c>
      <c r="V124">
        <f t="shared" ca="1" si="1"/>
        <v>0.11357767374025352</v>
      </c>
    </row>
    <row r="125" spans="1:22">
      <c r="A125">
        <v>124</v>
      </c>
      <c r="B125" t="s">
        <v>0</v>
      </c>
      <c r="C125" t="s">
        <v>56</v>
      </c>
      <c r="D125" t="s">
        <v>52</v>
      </c>
      <c r="E125">
        <v>2</v>
      </c>
      <c r="F125" t="s">
        <v>53</v>
      </c>
      <c r="G125" t="s">
        <v>50</v>
      </c>
      <c r="H125" t="s">
        <v>5</v>
      </c>
      <c r="I125" t="s">
        <v>5</v>
      </c>
      <c r="J125" s="1" t="s">
        <v>39</v>
      </c>
      <c r="K125" t="s">
        <v>39</v>
      </c>
      <c r="L125">
        <v>2</v>
      </c>
      <c r="M125" t="str">
        <f>IF(D125="Y","",IF(N125="Y",INDEX(#REF!,MATCH(C125,#REF!,0)),C125))</f>
        <v>6 - Junior Officer</v>
      </c>
      <c r="N125" t="s">
        <v>52</v>
      </c>
      <c r="O125" t="s">
        <v>40</v>
      </c>
      <c r="P125">
        <v>23</v>
      </c>
      <c r="Q125" t="s">
        <v>9</v>
      </c>
      <c r="R125" t="s">
        <v>9</v>
      </c>
      <c r="S125" t="s">
        <v>9</v>
      </c>
      <c r="T125" s="2">
        <v>43191</v>
      </c>
      <c r="U125">
        <v>2</v>
      </c>
      <c r="V125">
        <f t="shared" ca="1" si="1"/>
        <v>0.84968348937797622</v>
      </c>
    </row>
    <row r="126" spans="1:22">
      <c r="A126">
        <v>125</v>
      </c>
      <c r="B126" t="s">
        <v>1</v>
      </c>
      <c r="C126" t="s">
        <v>58</v>
      </c>
      <c r="D126" t="s">
        <v>50</v>
      </c>
      <c r="F126" t="s">
        <v>53</v>
      </c>
      <c r="G126" t="s">
        <v>52</v>
      </c>
      <c r="H126" t="s">
        <v>5</v>
      </c>
      <c r="I126" t="s">
        <v>5</v>
      </c>
      <c r="J126" s="1" t="s">
        <v>39</v>
      </c>
      <c r="K126" t="s">
        <v>39</v>
      </c>
      <c r="L126">
        <v>0</v>
      </c>
      <c r="M126" t="str">
        <f>IF(D126="Y","",IF(N126="Y",INDEX(#REF!,MATCH(C126,#REF!,0)),C126))</f>
        <v/>
      </c>
      <c r="N126" t="s">
        <v>52</v>
      </c>
      <c r="O126" t="s">
        <v>41</v>
      </c>
      <c r="P126">
        <v>38</v>
      </c>
      <c r="Q126" t="s">
        <v>9</v>
      </c>
      <c r="R126" t="s">
        <v>9</v>
      </c>
      <c r="S126" t="s">
        <v>9</v>
      </c>
      <c r="T126" s="2">
        <v>43922</v>
      </c>
      <c r="U126">
        <v>0</v>
      </c>
      <c r="V126">
        <f t="shared" ca="1" si="1"/>
        <v>0.3303359962602086</v>
      </c>
    </row>
    <row r="127" spans="1:22">
      <c r="A127">
        <v>126</v>
      </c>
      <c r="B127" t="s">
        <v>0</v>
      </c>
      <c r="C127" t="s">
        <v>56</v>
      </c>
      <c r="D127" t="s">
        <v>50</v>
      </c>
      <c r="F127" t="s">
        <v>53</v>
      </c>
      <c r="G127" t="s">
        <v>52</v>
      </c>
      <c r="H127" t="s">
        <v>6</v>
      </c>
      <c r="I127" t="s">
        <v>6</v>
      </c>
      <c r="J127" s="1">
        <v>0.8</v>
      </c>
      <c r="K127" t="s">
        <v>38</v>
      </c>
      <c r="L127">
        <v>0</v>
      </c>
      <c r="M127" t="str">
        <f>IF(D127="Y","",IF(N127="Y",INDEX(#REF!,MATCH(C127,#REF!,0)),C127))</f>
        <v/>
      </c>
      <c r="N127" t="s">
        <v>52</v>
      </c>
      <c r="O127" t="s">
        <v>40</v>
      </c>
      <c r="P127">
        <v>22</v>
      </c>
      <c r="Q127" t="s">
        <v>19</v>
      </c>
      <c r="R127" t="s">
        <v>45</v>
      </c>
      <c r="S127" t="s">
        <v>45</v>
      </c>
      <c r="T127" s="2">
        <v>43922</v>
      </c>
      <c r="U127">
        <v>0</v>
      </c>
      <c r="V127">
        <f t="shared" ca="1" si="1"/>
        <v>0.52924306728211901</v>
      </c>
    </row>
    <row r="128" spans="1:22">
      <c r="A128">
        <v>127</v>
      </c>
      <c r="B128" t="s">
        <v>1</v>
      </c>
      <c r="C128" t="s">
        <v>60</v>
      </c>
      <c r="D128" t="s">
        <v>52</v>
      </c>
      <c r="F128" t="s">
        <v>53</v>
      </c>
      <c r="G128" t="s">
        <v>50</v>
      </c>
      <c r="H128" t="s">
        <v>3</v>
      </c>
      <c r="I128" t="s">
        <v>3</v>
      </c>
      <c r="J128" s="1" t="s">
        <v>39</v>
      </c>
      <c r="K128" t="s">
        <v>39</v>
      </c>
      <c r="L128">
        <v>2</v>
      </c>
      <c r="M128" t="str">
        <f>IF(D128="Y","",IF(N128="Y",INDEX(#REF!,MATCH(C128,#REF!,0)),C128))</f>
        <v>1 - Executive</v>
      </c>
      <c r="N128" t="s">
        <v>52</v>
      </c>
      <c r="O128" t="s">
        <v>43</v>
      </c>
      <c r="P128">
        <v>55</v>
      </c>
      <c r="Q128" t="s">
        <v>9</v>
      </c>
      <c r="R128" t="s">
        <v>9</v>
      </c>
      <c r="S128" t="s">
        <v>9</v>
      </c>
      <c r="T128" s="2">
        <v>42826</v>
      </c>
      <c r="U128">
        <v>3</v>
      </c>
      <c r="V128">
        <f t="shared" ca="1" si="1"/>
        <v>0.48801342025797945</v>
      </c>
    </row>
    <row r="129" spans="1:22">
      <c r="A129">
        <v>128</v>
      </c>
      <c r="B129" t="s">
        <v>1</v>
      </c>
      <c r="C129" t="s">
        <v>60</v>
      </c>
      <c r="D129" t="s">
        <v>52</v>
      </c>
      <c r="F129" t="s">
        <v>53</v>
      </c>
      <c r="G129" t="s">
        <v>50</v>
      </c>
      <c r="H129" t="s">
        <v>8</v>
      </c>
      <c r="I129" t="s">
        <v>8</v>
      </c>
      <c r="J129" s="1" t="s">
        <v>39</v>
      </c>
      <c r="K129" t="s">
        <v>39</v>
      </c>
      <c r="L129">
        <v>3</v>
      </c>
      <c r="M129" t="str">
        <f>IF(D129="Y","",IF(N129="Y",INDEX(#REF!,MATCH(C129,#REF!,0)),C129))</f>
        <v>1 - Executive</v>
      </c>
      <c r="N129" t="s">
        <v>52</v>
      </c>
      <c r="O129" t="s">
        <v>42</v>
      </c>
      <c r="P129">
        <v>42</v>
      </c>
      <c r="Q129" t="s">
        <v>9</v>
      </c>
      <c r="R129" t="s">
        <v>9</v>
      </c>
      <c r="S129" t="s">
        <v>9</v>
      </c>
      <c r="T129" s="2">
        <v>42826</v>
      </c>
      <c r="U129">
        <v>3</v>
      </c>
      <c r="V129">
        <f t="shared" ca="1" si="1"/>
        <v>0.69654745012129615</v>
      </c>
    </row>
    <row r="130" spans="1:22">
      <c r="A130">
        <v>129</v>
      </c>
      <c r="B130" t="s">
        <v>1</v>
      </c>
      <c r="C130" t="s">
        <v>56</v>
      </c>
      <c r="D130" t="s">
        <v>52</v>
      </c>
      <c r="E130">
        <v>2</v>
      </c>
      <c r="F130" t="s">
        <v>53</v>
      </c>
      <c r="G130" t="s">
        <v>50</v>
      </c>
      <c r="H130" t="s">
        <v>5</v>
      </c>
      <c r="I130" t="s">
        <v>5</v>
      </c>
      <c r="J130" s="1" t="s">
        <v>39</v>
      </c>
      <c r="K130" t="s">
        <v>39</v>
      </c>
      <c r="L130">
        <v>4</v>
      </c>
      <c r="M130" t="str">
        <f>IF(D130="Y","",IF(N130="Y",INDEX(#REF!,MATCH(C130,#REF!,0)),C130))</f>
        <v>6 - Junior Officer</v>
      </c>
      <c r="N130" t="s">
        <v>52</v>
      </c>
      <c r="O130" t="s">
        <v>40</v>
      </c>
      <c r="P130">
        <v>22</v>
      </c>
      <c r="Q130" t="s">
        <v>9</v>
      </c>
      <c r="R130" t="s">
        <v>9</v>
      </c>
      <c r="S130" t="s">
        <v>9</v>
      </c>
      <c r="T130" s="2">
        <v>42461</v>
      </c>
      <c r="U130">
        <v>4</v>
      </c>
      <c r="V130">
        <f t="shared" ref="V130:V193" ca="1" si="2">RAND()</f>
        <v>2.5681551458813345E-2</v>
      </c>
    </row>
    <row r="131" spans="1:22">
      <c r="A131">
        <v>130</v>
      </c>
      <c r="B131" t="s">
        <v>0</v>
      </c>
      <c r="C131" t="s">
        <v>56</v>
      </c>
      <c r="D131" t="s">
        <v>52</v>
      </c>
      <c r="E131">
        <v>2</v>
      </c>
      <c r="F131" t="s">
        <v>53</v>
      </c>
      <c r="G131" t="s">
        <v>50</v>
      </c>
      <c r="H131" t="s">
        <v>7</v>
      </c>
      <c r="I131" t="s">
        <v>7</v>
      </c>
      <c r="J131" s="1" t="s">
        <v>39</v>
      </c>
      <c r="K131" t="s">
        <v>39</v>
      </c>
      <c r="L131">
        <v>2</v>
      </c>
      <c r="M131" t="str">
        <f>IF(D131="Y","",IF(N131="Y",INDEX(#REF!,MATCH(C131,#REF!,0)),C131))</f>
        <v>6 - Junior Officer</v>
      </c>
      <c r="N131" t="s">
        <v>52</v>
      </c>
      <c r="O131" t="s">
        <v>40</v>
      </c>
      <c r="P131">
        <v>24</v>
      </c>
      <c r="Q131" t="s">
        <v>19</v>
      </c>
      <c r="R131" t="s">
        <v>45</v>
      </c>
      <c r="S131" t="s">
        <v>45</v>
      </c>
      <c r="T131" s="2">
        <v>43191</v>
      </c>
      <c r="U131">
        <v>2</v>
      </c>
      <c r="V131">
        <f t="shared" ca="1" si="2"/>
        <v>0.68421024117083573</v>
      </c>
    </row>
    <row r="132" spans="1:22">
      <c r="A132">
        <v>131</v>
      </c>
      <c r="B132" t="s">
        <v>1</v>
      </c>
      <c r="C132" t="s">
        <v>56</v>
      </c>
      <c r="D132" t="s">
        <v>52</v>
      </c>
      <c r="E132">
        <v>2</v>
      </c>
      <c r="F132" t="s">
        <v>53</v>
      </c>
      <c r="G132" t="s">
        <v>50</v>
      </c>
      <c r="H132" t="s">
        <v>7</v>
      </c>
      <c r="I132" t="s">
        <v>7</v>
      </c>
      <c r="J132" s="1" t="s">
        <v>39</v>
      </c>
      <c r="K132" t="s">
        <v>39</v>
      </c>
      <c r="L132">
        <v>2</v>
      </c>
      <c r="M132" t="str">
        <f>IF(D132="Y","",IF(N132="Y",INDEX(#REF!,MATCH(C132,#REF!,0)),C132))</f>
        <v>6 - Junior Officer</v>
      </c>
      <c r="N132" t="s">
        <v>52</v>
      </c>
      <c r="O132" t="s">
        <v>40</v>
      </c>
      <c r="P132">
        <v>23</v>
      </c>
      <c r="Q132" t="s">
        <v>9</v>
      </c>
      <c r="R132" t="s">
        <v>9</v>
      </c>
      <c r="S132" t="s">
        <v>9</v>
      </c>
      <c r="T132" s="2">
        <v>43191</v>
      </c>
      <c r="U132">
        <v>2</v>
      </c>
      <c r="V132">
        <f t="shared" ca="1" si="2"/>
        <v>0.54547011736830853</v>
      </c>
    </row>
    <row r="133" spans="1:22">
      <c r="A133">
        <v>132</v>
      </c>
      <c r="B133" t="s">
        <v>1</v>
      </c>
      <c r="C133" t="s">
        <v>56</v>
      </c>
      <c r="D133" t="s">
        <v>52</v>
      </c>
      <c r="E133">
        <v>2</v>
      </c>
      <c r="F133" t="s">
        <v>53</v>
      </c>
      <c r="G133" t="s">
        <v>50</v>
      </c>
      <c r="H133" t="s">
        <v>6</v>
      </c>
      <c r="I133" t="s">
        <v>6</v>
      </c>
      <c r="J133" s="1" t="s">
        <v>39</v>
      </c>
      <c r="K133" t="s">
        <v>39</v>
      </c>
      <c r="L133">
        <v>2</v>
      </c>
      <c r="M133" t="str">
        <f>IF(D133="Y","",IF(N133="Y",INDEX(#REF!,MATCH(C133,#REF!,0)),C133))</f>
        <v>6 - Junior Officer</v>
      </c>
      <c r="N133" t="s">
        <v>52</v>
      </c>
      <c r="O133" t="s">
        <v>40</v>
      </c>
      <c r="P133">
        <v>25</v>
      </c>
      <c r="Q133" t="s">
        <v>19</v>
      </c>
      <c r="R133" t="s">
        <v>45</v>
      </c>
      <c r="S133" t="s">
        <v>45</v>
      </c>
      <c r="T133" s="2">
        <v>43191</v>
      </c>
      <c r="U133">
        <v>2</v>
      </c>
      <c r="V133">
        <f t="shared" ca="1" si="2"/>
        <v>7.9209248898848394E-2</v>
      </c>
    </row>
    <row r="134" spans="1:22">
      <c r="A134">
        <v>133</v>
      </c>
      <c r="B134" t="s">
        <v>0</v>
      </c>
      <c r="C134" t="s">
        <v>57</v>
      </c>
      <c r="D134" t="s">
        <v>52</v>
      </c>
      <c r="E134">
        <v>3</v>
      </c>
      <c r="F134" t="s">
        <v>53</v>
      </c>
      <c r="G134" t="s">
        <v>50</v>
      </c>
      <c r="H134" t="s">
        <v>5</v>
      </c>
      <c r="I134" t="s">
        <v>5</v>
      </c>
      <c r="J134" s="1" t="s">
        <v>39</v>
      </c>
      <c r="K134" t="s">
        <v>39</v>
      </c>
      <c r="L134">
        <v>3</v>
      </c>
      <c r="M134" t="str">
        <f>IF(D134="Y","",IF(N134="Y",INDEX(#REF!,MATCH(C134,#REF!,0)),C134))</f>
        <v>4 - Manager</v>
      </c>
      <c r="N134" t="s">
        <v>52</v>
      </c>
      <c r="O134" t="s">
        <v>41</v>
      </c>
      <c r="P134">
        <v>38</v>
      </c>
      <c r="Q134" t="s">
        <v>17</v>
      </c>
      <c r="R134" t="s">
        <v>45</v>
      </c>
      <c r="S134" t="s">
        <v>45</v>
      </c>
      <c r="T134" s="2">
        <v>42826</v>
      </c>
      <c r="U134">
        <v>3</v>
      </c>
      <c r="V134">
        <f t="shared" ca="1" si="2"/>
        <v>0.87498683093225327</v>
      </c>
    </row>
    <row r="135" spans="1:22">
      <c r="A135">
        <v>134</v>
      </c>
      <c r="B135" t="s">
        <v>1</v>
      </c>
      <c r="C135" t="s">
        <v>57</v>
      </c>
      <c r="D135" t="s">
        <v>52</v>
      </c>
      <c r="E135">
        <v>3</v>
      </c>
      <c r="F135" t="s">
        <v>53</v>
      </c>
      <c r="G135" t="s">
        <v>50</v>
      </c>
      <c r="H135" t="s">
        <v>7</v>
      </c>
      <c r="I135" t="s">
        <v>7</v>
      </c>
      <c r="J135" s="1" t="s">
        <v>39</v>
      </c>
      <c r="K135" t="s">
        <v>39</v>
      </c>
      <c r="L135">
        <v>3</v>
      </c>
      <c r="M135" t="str">
        <f>IF(D135="Y","",IF(N135="Y",INDEX(#REF!,MATCH(C135,#REF!,0)),C135))</f>
        <v>4 - Manager</v>
      </c>
      <c r="N135" t="s">
        <v>52</v>
      </c>
      <c r="O135" t="s">
        <v>41</v>
      </c>
      <c r="P135">
        <v>32</v>
      </c>
      <c r="Q135" t="s">
        <v>20</v>
      </c>
      <c r="R135" t="s">
        <v>45</v>
      </c>
      <c r="S135" t="s">
        <v>45</v>
      </c>
      <c r="T135" s="2">
        <v>41000</v>
      </c>
      <c r="U135">
        <v>8</v>
      </c>
      <c r="V135">
        <f t="shared" ca="1" si="2"/>
        <v>0.19092878591350004</v>
      </c>
    </row>
    <row r="136" spans="1:22">
      <c r="A136">
        <v>135</v>
      </c>
      <c r="B136" t="s">
        <v>0</v>
      </c>
      <c r="C136" t="s">
        <v>56</v>
      </c>
      <c r="D136" t="s">
        <v>52</v>
      </c>
      <c r="E136">
        <v>3</v>
      </c>
      <c r="F136" t="s">
        <v>53</v>
      </c>
      <c r="G136" t="s">
        <v>50</v>
      </c>
      <c r="H136" t="s">
        <v>5</v>
      </c>
      <c r="I136" t="s">
        <v>5</v>
      </c>
      <c r="J136" s="1">
        <v>0.7</v>
      </c>
      <c r="K136" t="s">
        <v>38</v>
      </c>
      <c r="L136">
        <v>1</v>
      </c>
      <c r="M136" t="str">
        <f>IF(D136="Y","",IF(N136="Y",INDEX(#REF!,MATCH(C136,#REF!,0)),C136))</f>
        <v>6 - Junior Officer</v>
      </c>
      <c r="N136" t="s">
        <v>52</v>
      </c>
      <c r="O136" t="s">
        <v>63</v>
      </c>
      <c r="P136">
        <v>19</v>
      </c>
      <c r="Q136" t="s">
        <v>9</v>
      </c>
      <c r="R136" t="s">
        <v>9</v>
      </c>
      <c r="S136" t="s">
        <v>9</v>
      </c>
      <c r="T136" s="2">
        <v>43556</v>
      </c>
      <c r="U136">
        <v>1</v>
      </c>
      <c r="V136">
        <f t="shared" ca="1" si="2"/>
        <v>0.16220076342655698</v>
      </c>
    </row>
    <row r="137" spans="1:22">
      <c r="A137">
        <v>136</v>
      </c>
      <c r="B137" t="s">
        <v>1</v>
      </c>
      <c r="C137" t="s">
        <v>56</v>
      </c>
      <c r="D137" t="s">
        <v>52</v>
      </c>
      <c r="E137">
        <v>2</v>
      </c>
      <c r="F137" t="s">
        <v>53</v>
      </c>
      <c r="G137" t="s">
        <v>50</v>
      </c>
      <c r="H137" t="s">
        <v>5</v>
      </c>
      <c r="I137" t="s">
        <v>5</v>
      </c>
      <c r="J137" s="1" t="s">
        <v>39</v>
      </c>
      <c r="K137" t="s">
        <v>39</v>
      </c>
      <c r="L137">
        <v>1</v>
      </c>
      <c r="M137" t="str">
        <f>IF(D137="Y","",IF(N137="Y",INDEX(#REF!,MATCH(C137,#REF!,0)),C137))</f>
        <v>6 - Junior Officer</v>
      </c>
      <c r="N137" t="s">
        <v>52</v>
      </c>
      <c r="O137" t="s">
        <v>40</v>
      </c>
      <c r="P137">
        <v>26</v>
      </c>
      <c r="Q137" t="s">
        <v>9</v>
      </c>
      <c r="R137" t="s">
        <v>9</v>
      </c>
      <c r="S137" t="s">
        <v>9</v>
      </c>
      <c r="T137" s="2">
        <v>43556</v>
      </c>
      <c r="U137">
        <v>1</v>
      </c>
      <c r="V137">
        <f t="shared" ca="1" si="2"/>
        <v>0.58136605634254457</v>
      </c>
    </row>
    <row r="138" spans="1:22">
      <c r="A138">
        <v>137</v>
      </c>
      <c r="B138" t="s">
        <v>1</v>
      </c>
      <c r="C138" t="s">
        <v>58</v>
      </c>
      <c r="D138" t="s">
        <v>52</v>
      </c>
      <c r="E138">
        <v>2</v>
      </c>
      <c r="F138" t="s">
        <v>53</v>
      </c>
      <c r="G138" t="s">
        <v>50</v>
      </c>
      <c r="H138" t="s">
        <v>7</v>
      </c>
      <c r="I138" t="s">
        <v>7</v>
      </c>
      <c r="J138" s="1" t="s">
        <v>39</v>
      </c>
      <c r="K138" t="s">
        <v>39</v>
      </c>
      <c r="L138">
        <v>2</v>
      </c>
      <c r="M138" t="str">
        <f>IF(D138="Y","",IF(N138="Y",INDEX(#REF!,MATCH(C138,#REF!,0)),C138))</f>
        <v>3 - Senior Manager</v>
      </c>
      <c r="N138" t="s">
        <v>52</v>
      </c>
      <c r="O138" t="s">
        <v>42</v>
      </c>
      <c r="P138">
        <v>40</v>
      </c>
      <c r="Q138" t="s">
        <v>20</v>
      </c>
      <c r="R138" t="s">
        <v>45</v>
      </c>
      <c r="S138" t="s">
        <v>45</v>
      </c>
      <c r="T138" s="2">
        <v>43191</v>
      </c>
      <c r="U138">
        <v>2</v>
      </c>
      <c r="V138">
        <f t="shared" ca="1" si="2"/>
        <v>0.17842936925279695</v>
      </c>
    </row>
    <row r="139" spans="1:22">
      <c r="A139">
        <v>138</v>
      </c>
      <c r="B139" t="s">
        <v>0</v>
      </c>
      <c r="C139" t="s">
        <v>56</v>
      </c>
      <c r="D139" t="s">
        <v>52</v>
      </c>
      <c r="E139">
        <v>2</v>
      </c>
      <c r="F139" t="s">
        <v>53</v>
      </c>
      <c r="G139" t="s">
        <v>50</v>
      </c>
      <c r="H139" t="s">
        <v>4</v>
      </c>
      <c r="I139" t="s">
        <v>4</v>
      </c>
      <c r="J139" s="1" t="s">
        <v>39</v>
      </c>
      <c r="K139" t="s">
        <v>39</v>
      </c>
      <c r="L139">
        <v>6</v>
      </c>
      <c r="M139" t="str">
        <f>IF(D139="Y","",IF(N139="Y",INDEX(#REF!,MATCH(C139,#REF!,0)),C139))</f>
        <v>6 - Junior Officer</v>
      </c>
      <c r="N139" t="s">
        <v>52</v>
      </c>
      <c r="O139" t="s">
        <v>41</v>
      </c>
      <c r="P139">
        <v>30</v>
      </c>
      <c r="Q139" t="s">
        <v>10</v>
      </c>
      <c r="R139" t="s">
        <v>45</v>
      </c>
      <c r="S139" t="s">
        <v>45</v>
      </c>
      <c r="T139" s="2">
        <v>41730</v>
      </c>
      <c r="U139">
        <v>6</v>
      </c>
      <c r="V139">
        <f t="shared" ca="1" si="2"/>
        <v>0.14720226691479843</v>
      </c>
    </row>
    <row r="140" spans="1:22">
      <c r="A140">
        <v>139</v>
      </c>
      <c r="B140" t="s">
        <v>0</v>
      </c>
      <c r="C140" t="s">
        <v>56</v>
      </c>
      <c r="D140" t="s">
        <v>52</v>
      </c>
      <c r="E140">
        <v>2</v>
      </c>
      <c r="F140" t="s">
        <v>53</v>
      </c>
      <c r="G140" t="s">
        <v>50</v>
      </c>
      <c r="H140" t="s">
        <v>7</v>
      </c>
      <c r="I140" t="s">
        <v>7</v>
      </c>
      <c r="J140" s="1" t="s">
        <v>39</v>
      </c>
      <c r="K140" t="s">
        <v>39</v>
      </c>
      <c r="L140">
        <v>2</v>
      </c>
      <c r="M140" t="str">
        <f>IF(D140="Y","",IF(N140="Y",INDEX(#REF!,MATCH(C140,#REF!,0)),C140))</f>
        <v>6 - Junior Officer</v>
      </c>
      <c r="N140" t="s">
        <v>52</v>
      </c>
      <c r="O140" t="s">
        <v>40</v>
      </c>
      <c r="P140">
        <v>27</v>
      </c>
      <c r="Q140" t="s">
        <v>15</v>
      </c>
      <c r="R140" t="s">
        <v>45</v>
      </c>
      <c r="S140" t="s">
        <v>45</v>
      </c>
      <c r="T140" s="2">
        <v>43191</v>
      </c>
      <c r="U140">
        <v>2</v>
      </c>
      <c r="V140">
        <f t="shared" ca="1" si="2"/>
        <v>0.73398391248198058</v>
      </c>
    </row>
    <row r="141" spans="1:22">
      <c r="A141">
        <v>140</v>
      </c>
      <c r="B141" t="s">
        <v>1</v>
      </c>
      <c r="C141" t="s">
        <v>58</v>
      </c>
      <c r="D141" t="s">
        <v>52</v>
      </c>
      <c r="E141">
        <v>2</v>
      </c>
      <c r="F141" t="s">
        <v>53</v>
      </c>
      <c r="G141" t="s">
        <v>50</v>
      </c>
      <c r="H141" t="s">
        <v>7</v>
      </c>
      <c r="I141" t="s">
        <v>7</v>
      </c>
      <c r="J141" s="1" t="s">
        <v>39</v>
      </c>
      <c r="K141" t="s">
        <v>39</v>
      </c>
      <c r="L141">
        <v>5</v>
      </c>
      <c r="M141" t="str">
        <f>IF(D141="Y","",IF(N141="Y",INDEX(#REF!,MATCH(C141,#REF!,0)),C141))</f>
        <v>3 - Senior Manager</v>
      </c>
      <c r="N141" t="s">
        <v>52</v>
      </c>
      <c r="O141" t="s">
        <v>41</v>
      </c>
      <c r="P141">
        <v>39</v>
      </c>
      <c r="Q141" t="s">
        <v>9</v>
      </c>
      <c r="R141" t="s">
        <v>9</v>
      </c>
      <c r="S141" t="s">
        <v>9</v>
      </c>
      <c r="T141" s="2">
        <v>42095</v>
      </c>
      <c r="U141">
        <v>5</v>
      </c>
      <c r="V141">
        <f t="shared" ca="1" si="2"/>
        <v>0.68690976076173427</v>
      </c>
    </row>
    <row r="142" spans="1:22">
      <c r="A142">
        <v>141</v>
      </c>
      <c r="B142" t="s">
        <v>1</v>
      </c>
      <c r="C142" t="s">
        <v>58</v>
      </c>
      <c r="D142" t="s">
        <v>52</v>
      </c>
      <c r="E142">
        <v>4</v>
      </c>
      <c r="F142" t="s">
        <v>53</v>
      </c>
      <c r="G142" t="s">
        <v>50</v>
      </c>
      <c r="H142" t="s">
        <v>5</v>
      </c>
      <c r="I142" t="s">
        <v>5</v>
      </c>
      <c r="J142" s="1" t="s">
        <v>39</v>
      </c>
      <c r="K142" t="s">
        <v>39</v>
      </c>
      <c r="L142">
        <v>1</v>
      </c>
      <c r="M142" t="e">
        <f>IF(D142="Y","",IF(N142="Y",INDEX(#REF!,MATCH(C142,#REF!,0)),C142))</f>
        <v>#REF!</v>
      </c>
      <c r="N142" t="s">
        <v>50</v>
      </c>
      <c r="O142" t="s">
        <v>41</v>
      </c>
      <c r="P142">
        <v>35</v>
      </c>
      <c r="Q142" t="s">
        <v>9</v>
      </c>
      <c r="R142" t="s">
        <v>9</v>
      </c>
      <c r="S142" t="s">
        <v>9</v>
      </c>
      <c r="T142" s="2">
        <v>42095</v>
      </c>
      <c r="U142">
        <v>5</v>
      </c>
      <c r="V142">
        <f t="shared" ca="1" si="2"/>
        <v>0.75571279799638202</v>
      </c>
    </row>
    <row r="143" spans="1:22">
      <c r="A143">
        <v>142</v>
      </c>
      <c r="B143" t="s">
        <v>1</v>
      </c>
      <c r="C143" t="s">
        <v>58</v>
      </c>
      <c r="D143" t="s">
        <v>50</v>
      </c>
      <c r="F143" t="s">
        <v>53</v>
      </c>
      <c r="G143" t="s">
        <v>52</v>
      </c>
      <c r="H143" t="s">
        <v>5</v>
      </c>
      <c r="I143" t="s">
        <v>5</v>
      </c>
      <c r="J143" s="1" t="s">
        <v>39</v>
      </c>
      <c r="K143" t="s">
        <v>39</v>
      </c>
      <c r="L143">
        <v>0</v>
      </c>
      <c r="M143" t="str">
        <f>IF(D143="Y","",IF(N143="Y",INDEX(#REF!,MATCH(C143,#REF!,0)),C143))</f>
        <v/>
      </c>
      <c r="N143" t="s">
        <v>52</v>
      </c>
      <c r="O143" t="s">
        <v>41</v>
      </c>
      <c r="P143">
        <v>34</v>
      </c>
      <c r="Q143" t="s">
        <v>9</v>
      </c>
      <c r="R143" t="s">
        <v>9</v>
      </c>
      <c r="S143" t="s">
        <v>9</v>
      </c>
      <c r="T143" s="2">
        <v>43922</v>
      </c>
      <c r="U143">
        <v>0</v>
      </c>
      <c r="V143">
        <f t="shared" ca="1" si="2"/>
        <v>0.56125598360529649</v>
      </c>
    </row>
    <row r="144" spans="1:22">
      <c r="A144">
        <v>143</v>
      </c>
      <c r="B144" t="s">
        <v>0</v>
      </c>
      <c r="C144" s="3" t="s">
        <v>56</v>
      </c>
      <c r="D144" t="s">
        <v>52</v>
      </c>
      <c r="E144">
        <v>3</v>
      </c>
      <c r="F144" t="s">
        <v>51</v>
      </c>
      <c r="G144" t="s">
        <v>50</v>
      </c>
      <c r="H144" t="s">
        <v>5</v>
      </c>
      <c r="I144" t="s">
        <v>5</v>
      </c>
      <c r="J144" s="1">
        <v>0.5</v>
      </c>
      <c r="K144" t="s">
        <v>38</v>
      </c>
      <c r="L144">
        <v>2</v>
      </c>
      <c r="M144" t="str">
        <f>IF(D144="Y","",IF(N144="Y",INDEX(#REF!,MATCH(C144,#REF!,0)),C144))</f>
        <v>6 - Junior Officer</v>
      </c>
      <c r="N144" t="s">
        <v>52</v>
      </c>
      <c r="O144" t="s">
        <v>41</v>
      </c>
      <c r="P144">
        <v>31</v>
      </c>
      <c r="Q144" t="s">
        <v>9</v>
      </c>
      <c r="R144" t="s">
        <v>9</v>
      </c>
      <c r="S144" t="s">
        <v>9</v>
      </c>
      <c r="T144" s="2">
        <v>43191</v>
      </c>
      <c r="U144">
        <v>2</v>
      </c>
      <c r="V144">
        <f t="shared" ca="1" si="2"/>
        <v>5.1319934481009244E-2</v>
      </c>
    </row>
    <row r="145" spans="1:22">
      <c r="A145">
        <v>144</v>
      </c>
      <c r="B145" t="s">
        <v>1</v>
      </c>
      <c r="C145" t="s">
        <v>60</v>
      </c>
      <c r="D145" t="s">
        <v>50</v>
      </c>
      <c r="F145" t="s">
        <v>53</v>
      </c>
      <c r="G145" t="s">
        <v>52</v>
      </c>
      <c r="H145" t="s">
        <v>8</v>
      </c>
      <c r="I145" t="s">
        <v>8</v>
      </c>
      <c r="J145" s="1" t="s">
        <v>39</v>
      </c>
      <c r="K145" t="s">
        <v>39</v>
      </c>
      <c r="L145">
        <v>0</v>
      </c>
      <c r="M145" t="str">
        <f>IF(D145="Y","",IF(N145="Y",INDEX(#REF!,MATCH(C145,#REF!,0)),C145))</f>
        <v/>
      </c>
      <c r="N145" t="s">
        <v>52</v>
      </c>
      <c r="O145" t="s">
        <v>42</v>
      </c>
      <c r="P145">
        <v>49</v>
      </c>
      <c r="Q145" t="s">
        <v>9</v>
      </c>
      <c r="R145" t="s">
        <v>9</v>
      </c>
      <c r="S145" t="s">
        <v>9</v>
      </c>
      <c r="T145" s="2">
        <v>43922</v>
      </c>
      <c r="U145">
        <v>0</v>
      </c>
      <c r="V145">
        <f t="shared" ca="1" si="2"/>
        <v>0.72416274759942645</v>
      </c>
    </row>
    <row r="146" spans="1:22">
      <c r="A146">
        <v>145</v>
      </c>
      <c r="B146" t="s">
        <v>1</v>
      </c>
      <c r="C146" t="s">
        <v>57</v>
      </c>
      <c r="D146" t="s">
        <v>52</v>
      </c>
      <c r="E146">
        <v>2</v>
      </c>
      <c r="F146" t="s">
        <v>53</v>
      </c>
      <c r="G146" t="s">
        <v>50</v>
      </c>
      <c r="H146" t="s">
        <v>7</v>
      </c>
      <c r="I146" t="s">
        <v>7</v>
      </c>
      <c r="J146" s="1" t="s">
        <v>39</v>
      </c>
      <c r="K146" t="s">
        <v>39</v>
      </c>
      <c r="L146">
        <v>4</v>
      </c>
      <c r="M146" t="str">
        <f>IF(D146="Y","",IF(N146="Y",INDEX(#REF!,MATCH(C146,#REF!,0)),C146))</f>
        <v>4 - Manager</v>
      </c>
      <c r="N146" t="s">
        <v>52</v>
      </c>
      <c r="O146" t="s">
        <v>41</v>
      </c>
      <c r="P146">
        <v>36</v>
      </c>
      <c r="Q146" t="s">
        <v>11</v>
      </c>
      <c r="R146" t="s">
        <v>45</v>
      </c>
      <c r="S146" t="s">
        <v>45</v>
      </c>
      <c r="T146" s="2">
        <v>42461</v>
      </c>
      <c r="U146">
        <v>4</v>
      </c>
      <c r="V146">
        <f t="shared" ca="1" si="2"/>
        <v>6.8180314090528049E-2</v>
      </c>
    </row>
    <row r="147" spans="1:22">
      <c r="A147">
        <v>146</v>
      </c>
      <c r="B147" t="s">
        <v>1</v>
      </c>
      <c r="C147" t="s">
        <v>56</v>
      </c>
      <c r="D147" t="s">
        <v>52</v>
      </c>
      <c r="E147">
        <v>2</v>
      </c>
      <c r="F147" t="s">
        <v>53</v>
      </c>
      <c r="G147" t="s">
        <v>50</v>
      </c>
      <c r="H147" t="s">
        <v>7</v>
      </c>
      <c r="I147" t="s">
        <v>7</v>
      </c>
      <c r="J147" s="1" t="s">
        <v>39</v>
      </c>
      <c r="K147" t="s">
        <v>39</v>
      </c>
      <c r="L147">
        <v>3</v>
      </c>
      <c r="M147" t="str">
        <f>IF(D147="Y","",IF(N147="Y",INDEX(#REF!,MATCH(C147,#REF!,0)),C147))</f>
        <v>6 - Junior Officer</v>
      </c>
      <c r="N147" t="s">
        <v>52</v>
      </c>
      <c r="O147" t="s">
        <v>40</v>
      </c>
      <c r="P147">
        <v>26</v>
      </c>
      <c r="Q147" t="s">
        <v>20</v>
      </c>
      <c r="R147" t="s">
        <v>45</v>
      </c>
      <c r="S147" t="s">
        <v>45</v>
      </c>
      <c r="T147" s="2">
        <v>42826</v>
      </c>
      <c r="U147">
        <v>3</v>
      </c>
      <c r="V147">
        <f t="shared" ca="1" si="2"/>
        <v>0.9258823158570807</v>
      </c>
    </row>
    <row r="148" spans="1:22">
      <c r="A148">
        <v>147</v>
      </c>
      <c r="B148" t="s">
        <v>0</v>
      </c>
      <c r="C148" t="s">
        <v>57</v>
      </c>
      <c r="D148" t="s">
        <v>50</v>
      </c>
      <c r="F148" t="s">
        <v>53</v>
      </c>
      <c r="G148" t="s">
        <v>52</v>
      </c>
      <c r="H148" t="s">
        <v>5</v>
      </c>
      <c r="I148" t="s">
        <v>5</v>
      </c>
      <c r="J148" s="1" t="s">
        <v>39</v>
      </c>
      <c r="K148" t="s">
        <v>39</v>
      </c>
      <c r="L148">
        <v>0</v>
      </c>
      <c r="M148" t="str">
        <f>IF(D148="Y","",IF(N148="Y",INDEX(#REF!,MATCH(C148,#REF!,0)),C148))</f>
        <v/>
      </c>
      <c r="N148" t="s">
        <v>52</v>
      </c>
      <c r="O148" t="s">
        <v>42</v>
      </c>
      <c r="P148">
        <v>42</v>
      </c>
      <c r="Q148" t="s">
        <v>19</v>
      </c>
      <c r="R148" t="s">
        <v>45</v>
      </c>
      <c r="S148" t="s">
        <v>45</v>
      </c>
      <c r="T148" s="2">
        <v>43922</v>
      </c>
      <c r="U148">
        <v>0</v>
      </c>
      <c r="V148">
        <f t="shared" ca="1" si="2"/>
        <v>0.52758185561410154</v>
      </c>
    </row>
    <row r="149" spans="1:22">
      <c r="A149">
        <v>148</v>
      </c>
      <c r="B149" t="s">
        <v>1</v>
      </c>
      <c r="C149" t="s">
        <v>56</v>
      </c>
      <c r="D149" t="s">
        <v>52</v>
      </c>
      <c r="E149">
        <v>3</v>
      </c>
      <c r="F149" t="s">
        <v>53</v>
      </c>
      <c r="G149" t="s">
        <v>50</v>
      </c>
      <c r="H149" t="s">
        <v>5</v>
      </c>
      <c r="I149" t="s">
        <v>5</v>
      </c>
      <c r="J149" s="1" t="s">
        <v>39</v>
      </c>
      <c r="K149" t="s">
        <v>39</v>
      </c>
      <c r="L149">
        <v>2</v>
      </c>
      <c r="M149" t="str">
        <f>IF(D149="Y","",IF(N149="Y",INDEX(#REF!,MATCH(C149,#REF!,0)),C149))</f>
        <v>6 - Junior Officer</v>
      </c>
      <c r="N149" t="s">
        <v>52</v>
      </c>
      <c r="O149" t="s">
        <v>40</v>
      </c>
      <c r="P149">
        <v>23</v>
      </c>
      <c r="Q149" t="s">
        <v>9</v>
      </c>
      <c r="R149" t="s">
        <v>9</v>
      </c>
      <c r="S149" t="s">
        <v>9</v>
      </c>
      <c r="T149" s="2">
        <v>43191</v>
      </c>
      <c r="U149">
        <v>2</v>
      </c>
      <c r="V149">
        <f t="shared" ca="1" si="2"/>
        <v>0.65993368129754981</v>
      </c>
    </row>
    <row r="150" spans="1:22">
      <c r="A150">
        <v>149</v>
      </c>
      <c r="B150" t="s">
        <v>1</v>
      </c>
      <c r="C150" t="s">
        <v>57</v>
      </c>
      <c r="D150" t="s">
        <v>52</v>
      </c>
      <c r="E150">
        <v>4</v>
      </c>
      <c r="F150" t="s">
        <v>53</v>
      </c>
      <c r="G150" t="s">
        <v>50</v>
      </c>
      <c r="H150" t="s">
        <v>7</v>
      </c>
      <c r="I150" t="s">
        <v>7</v>
      </c>
      <c r="J150" s="1" t="s">
        <v>39</v>
      </c>
      <c r="K150" t="s">
        <v>39</v>
      </c>
      <c r="L150">
        <v>2</v>
      </c>
      <c r="M150" t="str">
        <f>IF(D150="Y","",IF(N150="Y",INDEX(#REF!,MATCH(C150,#REF!,0)),C150))</f>
        <v>4 - Manager</v>
      </c>
      <c r="N150" t="s">
        <v>52</v>
      </c>
      <c r="O150" t="s">
        <v>41</v>
      </c>
      <c r="P150">
        <v>36</v>
      </c>
      <c r="Q150" t="s">
        <v>19</v>
      </c>
      <c r="R150" t="s">
        <v>45</v>
      </c>
      <c r="S150" t="s">
        <v>45</v>
      </c>
      <c r="T150" s="2">
        <v>42095</v>
      </c>
      <c r="U150">
        <v>5</v>
      </c>
      <c r="V150">
        <f t="shared" ca="1" si="2"/>
        <v>8.747962712840307E-2</v>
      </c>
    </row>
    <row r="151" spans="1:22">
      <c r="A151">
        <v>150</v>
      </c>
      <c r="B151" t="s">
        <v>1</v>
      </c>
      <c r="C151" t="s">
        <v>57</v>
      </c>
      <c r="D151" t="s">
        <v>52</v>
      </c>
      <c r="E151">
        <v>2</v>
      </c>
      <c r="F151" t="s">
        <v>53</v>
      </c>
      <c r="G151" t="s">
        <v>50</v>
      </c>
      <c r="H151" t="s">
        <v>5</v>
      </c>
      <c r="I151" t="s">
        <v>5</v>
      </c>
      <c r="J151" s="1" t="s">
        <v>39</v>
      </c>
      <c r="K151" t="s">
        <v>39</v>
      </c>
      <c r="L151">
        <v>3</v>
      </c>
      <c r="M151" t="str">
        <f>IF(D151="Y","",IF(N151="Y",INDEX(#REF!,MATCH(C151,#REF!,0)),C151))</f>
        <v>4 - Manager</v>
      </c>
      <c r="N151" t="s">
        <v>52</v>
      </c>
      <c r="O151" t="s">
        <v>41</v>
      </c>
      <c r="P151">
        <v>36</v>
      </c>
      <c r="Q151" t="s">
        <v>9</v>
      </c>
      <c r="R151" t="s">
        <v>9</v>
      </c>
      <c r="S151" t="s">
        <v>9</v>
      </c>
      <c r="T151" s="2">
        <v>42461</v>
      </c>
      <c r="U151">
        <v>4</v>
      </c>
      <c r="V151">
        <f t="shared" ca="1" si="2"/>
        <v>0.16147874125460315</v>
      </c>
    </row>
    <row r="152" spans="1:22">
      <c r="A152">
        <v>151</v>
      </c>
      <c r="B152" t="s">
        <v>0</v>
      </c>
      <c r="C152" t="s">
        <v>61</v>
      </c>
      <c r="D152" t="s">
        <v>52</v>
      </c>
      <c r="F152" t="s">
        <v>51</v>
      </c>
      <c r="G152" t="s">
        <v>50</v>
      </c>
      <c r="H152" t="s">
        <v>7</v>
      </c>
      <c r="I152" t="s">
        <v>7</v>
      </c>
      <c r="J152" s="1" t="s">
        <v>39</v>
      </c>
      <c r="K152" t="s">
        <v>39</v>
      </c>
      <c r="L152">
        <v>3</v>
      </c>
      <c r="M152" t="str">
        <f>IF(D152="Y","",IF(N152="Y",INDEX(#REF!,MATCH(C152,#REF!,0)),C152))</f>
        <v>5 - Senior Officer</v>
      </c>
      <c r="N152" t="s">
        <v>52</v>
      </c>
      <c r="O152" t="s">
        <v>42</v>
      </c>
      <c r="P152">
        <v>41</v>
      </c>
      <c r="Q152" t="s">
        <v>15</v>
      </c>
      <c r="R152" t="s">
        <v>45</v>
      </c>
      <c r="S152" t="s">
        <v>45</v>
      </c>
      <c r="T152" s="2">
        <v>42461</v>
      </c>
      <c r="U152">
        <v>4</v>
      </c>
      <c r="V152">
        <f t="shared" ca="1" si="2"/>
        <v>0.70292094953988871</v>
      </c>
    </row>
    <row r="153" spans="1:22">
      <c r="A153">
        <v>152</v>
      </c>
      <c r="B153" t="s">
        <v>1</v>
      </c>
      <c r="C153" t="s">
        <v>59</v>
      </c>
      <c r="D153" t="s">
        <v>52</v>
      </c>
      <c r="E153">
        <v>2</v>
      </c>
      <c r="F153" t="s">
        <v>53</v>
      </c>
      <c r="G153" t="s">
        <v>50</v>
      </c>
      <c r="H153" t="s">
        <v>4</v>
      </c>
      <c r="I153" t="s">
        <v>4</v>
      </c>
      <c r="J153" s="1" t="s">
        <v>39</v>
      </c>
      <c r="K153" t="s">
        <v>39</v>
      </c>
      <c r="L153">
        <v>6</v>
      </c>
      <c r="M153" t="str">
        <f>IF(D153="Y","",IF(N153="Y",INDEX(#REF!,MATCH(C153,#REF!,0)),C153))</f>
        <v>2 - Director</v>
      </c>
      <c r="N153" t="s">
        <v>52</v>
      </c>
      <c r="O153" t="s">
        <v>42</v>
      </c>
      <c r="P153">
        <v>42</v>
      </c>
      <c r="Q153" t="s">
        <v>20</v>
      </c>
      <c r="R153" t="s">
        <v>45</v>
      </c>
      <c r="S153" t="s">
        <v>45</v>
      </c>
      <c r="T153" s="2">
        <v>41000</v>
      </c>
      <c r="U153">
        <v>8</v>
      </c>
      <c r="V153">
        <f t="shared" ca="1" si="2"/>
        <v>0.6606227035428931</v>
      </c>
    </row>
    <row r="154" spans="1:22">
      <c r="A154">
        <v>153</v>
      </c>
      <c r="B154" t="s">
        <v>0</v>
      </c>
      <c r="C154" t="s">
        <v>58</v>
      </c>
      <c r="D154" t="s">
        <v>50</v>
      </c>
      <c r="F154" t="s">
        <v>53</v>
      </c>
      <c r="G154" t="s">
        <v>52</v>
      </c>
      <c r="H154" t="s">
        <v>7</v>
      </c>
      <c r="I154" t="s">
        <v>7</v>
      </c>
      <c r="J154" s="1" t="s">
        <v>39</v>
      </c>
      <c r="K154" t="s">
        <v>39</v>
      </c>
      <c r="L154">
        <v>0</v>
      </c>
      <c r="M154" t="str">
        <f>IF(D154="Y","",IF(N154="Y",INDEX(#REF!,MATCH(C154,#REF!,0)),C154))</f>
        <v/>
      </c>
      <c r="N154" t="s">
        <v>52</v>
      </c>
      <c r="O154" t="s">
        <v>42</v>
      </c>
      <c r="P154">
        <v>40</v>
      </c>
      <c r="Q154" t="s">
        <v>9</v>
      </c>
      <c r="R154" t="s">
        <v>9</v>
      </c>
      <c r="S154" t="s">
        <v>9</v>
      </c>
      <c r="T154" s="2">
        <v>43922</v>
      </c>
      <c r="U154">
        <v>0</v>
      </c>
      <c r="V154">
        <f t="shared" ca="1" si="2"/>
        <v>0.73765974217525421</v>
      </c>
    </row>
    <row r="155" spans="1:22">
      <c r="A155">
        <v>154</v>
      </c>
      <c r="B155" t="s">
        <v>1</v>
      </c>
      <c r="C155" t="s">
        <v>56</v>
      </c>
      <c r="D155" t="s">
        <v>52</v>
      </c>
      <c r="E155">
        <v>2</v>
      </c>
      <c r="F155" t="s">
        <v>53</v>
      </c>
      <c r="G155" t="s">
        <v>50</v>
      </c>
      <c r="H155" t="s">
        <v>5</v>
      </c>
      <c r="I155" t="s">
        <v>5</v>
      </c>
      <c r="J155" s="1" t="s">
        <v>39</v>
      </c>
      <c r="K155" t="s">
        <v>39</v>
      </c>
      <c r="L155">
        <v>1</v>
      </c>
      <c r="M155" t="str">
        <f>IF(D155="Y","",IF(N155="Y",INDEX(#REF!,MATCH(C155,#REF!,0)),C155))</f>
        <v>6 - Junior Officer</v>
      </c>
      <c r="N155" t="s">
        <v>52</v>
      </c>
      <c r="O155" t="s">
        <v>41</v>
      </c>
      <c r="P155">
        <v>31</v>
      </c>
      <c r="Q155" t="s">
        <v>9</v>
      </c>
      <c r="R155" t="s">
        <v>9</v>
      </c>
      <c r="S155" t="s">
        <v>9</v>
      </c>
      <c r="T155" s="2">
        <v>43556</v>
      </c>
      <c r="U155">
        <v>1</v>
      </c>
      <c r="V155">
        <f t="shared" ca="1" si="2"/>
        <v>0.6317114548038949</v>
      </c>
    </row>
    <row r="156" spans="1:22">
      <c r="A156">
        <v>155</v>
      </c>
      <c r="B156" t="s">
        <v>0</v>
      </c>
      <c r="C156" t="s">
        <v>56</v>
      </c>
      <c r="D156" t="s">
        <v>52</v>
      </c>
      <c r="E156">
        <v>3</v>
      </c>
      <c r="F156" t="s">
        <v>53</v>
      </c>
      <c r="G156" t="s">
        <v>50</v>
      </c>
      <c r="H156" t="s">
        <v>5</v>
      </c>
      <c r="I156" t="s">
        <v>5</v>
      </c>
      <c r="J156" s="1" t="s">
        <v>39</v>
      </c>
      <c r="K156" t="s">
        <v>39</v>
      </c>
      <c r="L156">
        <v>2</v>
      </c>
      <c r="M156" t="str">
        <f>IF(D156="Y","",IF(N156="Y",INDEX(#REF!,MATCH(C156,#REF!,0)),C156))</f>
        <v>6 - Junior Officer</v>
      </c>
      <c r="N156" t="s">
        <v>52</v>
      </c>
      <c r="O156" t="s">
        <v>40</v>
      </c>
      <c r="P156">
        <v>22</v>
      </c>
      <c r="Q156" t="s">
        <v>9</v>
      </c>
      <c r="R156" t="s">
        <v>9</v>
      </c>
      <c r="S156" t="s">
        <v>9</v>
      </c>
      <c r="T156" s="2">
        <v>43191</v>
      </c>
      <c r="U156">
        <v>2</v>
      </c>
      <c r="V156">
        <f t="shared" ca="1" si="2"/>
        <v>0.88903349126188302</v>
      </c>
    </row>
    <row r="157" spans="1:22">
      <c r="A157">
        <v>156</v>
      </c>
      <c r="B157" t="s">
        <v>1</v>
      </c>
      <c r="C157" s="3" t="s">
        <v>56</v>
      </c>
      <c r="D157" t="s">
        <v>52</v>
      </c>
      <c r="E157">
        <v>2</v>
      </c>
      <c r="F157" t="s">
        <v>51</v>
      </c>
      <c r="G157" t="s">
        <v>50</v>
      </c>
      <c r="H157" t="s">
        <v>6</v>
      </c>
      <c r="I157" t="s">
        <v>6</v>
      </c>
      <c r="J157" s="1" t="s">
        <v>39</v>
      </c>
      <c r="K157" t="s">
        <v>39</v>
      </c>
      <c r="L157">
        <v>5</v>
      </c>
      <c r="M157" t="str">
        <f>IF(D157="Y","",IF(N157="Y",INDEX(#REF!,MATCH(C157,#REF!,0)),C157))</f>
        <v>6 - Junior Officer</v>
      </c>
      <c r="N157" t="s">
        <v>52</v>
      </c>
      <c r="O157" t="s">
        <v>41</v>
      </c>
      <c r="P157">
        <v>39</v>
      </c>
      <c r="Q157" t="s">
        <v>15</v>
      </c>
      <c r="R157" t="s">
        <v>45</v>
      </c>
      <c r="S157" t="s">
        <v>45</v>
      </c>
      <c r="T157" s="2">
        <v>42095</v>
      </c>
      <c r="U157">
        <v>5</v>
      </c>
      <c r="V157">
        <f t="shared" ca="1" si="2"/>
        <v>0.49919826354372188</v>
      </c>
    </row>
    <row r="158" spans="1:22">
      <c r="A158">
        <v>157</v>
      </c>
      <c r="B158" t="s">
        <v>0</v>
      </c>
      <c r="C158" t="s">
        <v>61</v>
      </c>
      <c r="D158" t="s">
        <v>50</v>
      </c>
      <c r="F158" t="s">
        <v>53</v>
      </c>
      <c r="G158" t="s">
        <v>52</v>
      </c>
      <c r="H158" t="s">
        <v>5</v>
      </c>
      <c r="I158" t="s">
        <v>5</v>
      </c>
      <c r="J158" s="1">
        <v>0.9</v>
      </c>
      <c r="K158" t="s">
        <v>38</v>
      </c>
      <c r="L158">
        <v>0</v>
      </c>
      <c r="M158" t="str">
        <f>IF(D158="Y","",IF(N158="Y",INDEX(#REF!,MATCH(C158,#REF!,0)),C158))</f>
        <v/>
      </c>
      <c r="N158" t="s">
        <v>52</v>
      </c>
      <c r="O158" t="s">
        <v>40</v>
      </c>
      <c r="P158">
        <v>28</v>
      </c>
      <c r="Q158" t="s">
        <v>9</v>
      </c>
      <c r="R158" t="s">
        <v>9</v>
      </c>
      <c r="S158" t="s">
        <v>9</v>
      </c>
      <c r="T158" s="2">
        <v>43922</v>
      </c>
      <c r="U158">
        <v>0</v>
      </c>
      <c r="V158">
        <f t="shared" ca="1" si="2"/>
        <v>0.57174115076057053</v>
      </c>
    </row>
    <row r="159" spans="1:22">
      <c r="A159">
        <v>158</v>
      </c>
      <c r="B159" t="s">
        <v>1</v>
      </c>
      <c r="C159" t="s">
        <v>56</v>
      </c>
      <c r="D159" t="s">
        <v>52</v>
      </c>
      <c r="E159">
        <v>3</v>
      </c>
      <c r="F159" t="s">
        <v>53</v>
      </c>
      <c r="G159" t="s">
        <v>50</v>
      </c>
      <c r="H159" t="s">
        <v>6</v>
      </c>
      <c r="I159" t="s">
        <v>6</v>
      </c>
      <c r="J159" s="1" t="s">
        <v>39</v>
      </c>
      <c r="K159" t="s">
        <v>39</v>
      </c>
      <c r="L159">
        <v>3</v>
      </c>
      <c r="M159" t="str">
        <f>IF(D159="Y","",IF(N159="Y",INDEX(#REF!,MATCH(C159,#REF!,0)),C159))</f>
        <v>6 - Junior Officer</v>
      </c>
      <c r="N159" t="s">
        <v>52</v>
      </c>
      <c r="O159" t="s">
        <v>40</v>
      </c>
      <c r="P159">
        <v>23</v>
      </c>
      <c r="Q159" t="s">
        <v>9</v>
      </c>
      <c r="R159" t="s">
        <v>9</v>
      </c>
      <c r="S159" t="s">
        <v>9</v>
      </c>
      <c r="T159" s="2">
        <v>42826</v>
      </c>
      <c r="U159">
        <v>3</v>
      </c>
      <c r="V159">
        <f t="shared" ca="1" si="2"/>
        <v>0.7031780963959694</v>
      </c>
    </row>
    <row r="160" spans="1:22">
      <c r="A160">
        <v>159</v>
      </c>
      <c r="B160" t="s">
        <v>1</v>
      </c>
      <c r="C160" t="s">
        <v>58</v>
      </c>
      <c r="D160" t="s">
        <v>52</v>
      </c>
      <c r="E160">
        <v>3</v>
      </c>
      <c r="F160" t="s">
        <v>53</v>
      </c>
      <c r="G160" t="s">
        <v>50</v>
      </c>
      <c r="H160" t="s">
        <v>7</v>
      </c>
      <c r="I160" t="s">
        <v>7</v>
      </c>
      <c r="J160" s="1" t="s">
        <v>39</v>
      </c>
      <c r="K160" t="s">
        <v>39</v>
      </c>
      <c r="L160">
        <v>3</v>
      </c>
      <c r="M160" t="str">
        <f>IF(D160="Y","",IF(N160="Y",INDEX(#REF!,MATCH(C160,#REF!,0)),C160))</f>
        <v>3 - Senior Manager</v>
      </c>
      <c r="N160" t="s">
        <v>52</v>
      </c>
      <c r="O160" t="s">
        <v>41</v>
      </c>
      <c r="P160">
        <v>39</v>
      </c>
      <c r="Q160" t="s">
        <v>19</v>
      </c>
      <c r="R160" t="s">
        <v>45</v>
      </c>
      <c r="S160" t="s">
        <v>45</v>
      </c>
      <c r="T160" s="2">
        <v>42826</v>
      </c>
      <c r="U160">
        <v>3</v>
      </c>
      <c r="V160">
        <f t="shared" ca="1" si="2"/>
        <v>0.60735535365802518</v>
      </c>
    </row>
    <row r="161" spans="1:22">
      <c r="A161">
        <v>160</v>
      </c>
      <c r="B161" t="s">
        <v>1</v>
      </c>
      <c r="C161" t="s">
        <v>58</v>
      </c>
      <c r="D161" t="s">
        <v>52</v>
      </c>
      <c r="E161">
        <v>1</v>
      </c>
      <c r="F161" t="s">
        <v>53</v>
      </c>
      <c r="G161" t="s">
        <v>50</v>
      </c>
      <c r="H161" t="s">
        <v>7</v>
      </c>
      <c r="I161" t="s">
        <v>7</v>
      </c>
      <c r="J161" s="1" t="s">
        <v>39</v>
      </c>
      <c r="K161" t="s">
        <v>39</v>
      </c>
      <c r="L161">
        <v>1</v>
      </c>
      <c r="M161" t="e">
        <f>IF(D161="Y","",IF(N161="Y",INDEX(#REF!,MATCH(C161,#REF!,0)),C161))</f>
        <v>#REF!</v>
      </c>
      <c r="N161" t="s">
        <v>50</v>
      </c>
      <c r="O161" t="s">
        <v>41</v>
      </c>
      <c r="P161">
        <v>35</v>
      </c>
      <c r="Q161" t="s">
        <v>9</v>
      </c>
      <c r="R161" t="s">
        <v>9</v>
      </c>
      <c r="S161" t="s">
        <v>9</v>
      </c>
      <c r="T161" s="2">
        <v>42826</v>
      </c>
      <c r="U161">
        <v>3</v>
      </c>
      <c r="V161">
        <f t="shared" ca="1" si="2"/>
        <v>0.14140423342652408</v>
      </c>
    </row>
    <row r="162" spans="1:22">
      <c r="A162">
        <v>161</v>
      </c>
      <c r="B162" t="s">
        <v>1</v>
      </c>
      <c r="C162" t="s">
        <v>57</v>
      </c>
      <c r="D162" t="s">
        <v>52</v>
      </c>
      <c r="E162">
        <v>2</v>
      </c>
      <c r="F162" t="s">
        <v>53</v>
      </c>
      <c r="G162" t="s">
        <v>50</v>
      </c>
      <c r="H162" t="s">
        <v>5</v>
      </c>
      <c r="I162" t="s">
        <v>5</v>
      </c>
      <c r="J162" s="1" t="s">
        <v>39</v>
      </c>
      <c r="K162" t="s">
        <v>39</v>
      </c>
      <c r="L162">
        <v>2</v>
      </c>
      <c r="M162" t="str">
        <f>IF(D162="Y","",IF(N162="Y",INDEX(#REF!,MATCH(C162,#REF!,0)),C162))</f>
        <v>4 - Manager</v>
      </c>
      <c r="N162" t="s">
        <v>52</v>
      </c>
      <c r="O162" t="s">
        <v>41</v>
      </c>
      <c r="P162">
        <v>35</v>
      </c>
      <c r="Q162" t="s">
        <v>9</v>
      </c>
      <c r="R162" t="s">
        <v>9</v>
      </c>
      <c r="S162" t="s">
        <v>9</v>
      </c>
      <c r="T162" s="2">
        <v>40634</v>
      </c>
      <c r="U162">
        <v>9</v>
      </c>
      <c r="V162">
        <f t="shared" ca="1" si="2"/>
        <v>0.82536481935936534</v>
      </c>
    </row>
    <row r="163" spans="1:22">
      <c r="A163">
        <v>162</v>
      </c>
      <c r="B163" t="s">
        <v>1</v>
      </c>
      <c r="C163" t="s">
        <v>56</v>
      </c>
      <c r="D163" t="s">
        <v>52</v>
      </c>
      <c r="E163">
        <v>2</v>
      </c>
      <c r="F163" t="s">
        <v>53</v>
      </c>
      <c r="G163" t="s">
        <v>50</v>
      </c>
      <c r="H163" t="s">
        <v>5</v>
      </c>
      <c r="I163" t="s">
        <v>5</v>
      </c>
      <c r="J163" s="1" t="s">
        <v>39</v>
      </c>
      <c r="K163" t="s">
        <v>39</v>
      </c>
      <c r="L163">
        <v>3</v>
      </c>
      <c r="M163" t="str">
        <f>IF(D163="Y","",IF(N163="Y",INDEX(#REF!,MATCH(C163,#REF!,0)),C163))</f>
        <v>6 - Junior Officer</v>
      </c>
      <c r="N163" t="s">
        <v>52</v>
      </c>
      <c r="O163" t="s">
        <v>40</v>
      </c>
      <c r="P163">
        <v>26</v>
      </c>
      <c r="Q163" t="s">
        <v>20</v>
      </c>
      <c r="R163" t="s">
        <v>45</v>
      </c>
      <c r="S163" t="s">
        <v>45</v>
      </c>
      <c r="T163" s="2">
        <v>42826</v>
      </c>
      <c r="U163">
        <v>3</v>
      </c>
      <c r="V163">
        <f t="shared" ca="1" si="2"/>
        <v>0.51141897988594653</v>
      </c>
    </row>
    <row r="164" spans="1:22">
      <c r="A164">
        <v>163</v>
      </c>
      <c r="B164" t="s">
        <v>1</v>
      </c>
      <c r="C164" t="s">
        <v>57</v>
      </c>
      <c r="D164" t="s">
        <v>52</v>
      </c>
      <c r="E164">
        <v>3</v>
      </c>
      <c r="F164" t="s">
        <v>53</v>
      </c>
      <c r="G164" t="s">
        <v>50</v>
      </c>
      <c r="H164" t="s">
        <v>3</v>
      </c>
      <c r="I164" t="s">
        <v>3</v>
      </c>
      <c r="J164" s="1" t="s">
        <v>39</v>
      </c>
      <c r="K164" t="s">
        <v>39</v>
      </c>
      <c r="L164">
        <v>3</v>
      </c>
      <c r="M164" t="str">
        <f>IF(D164="Y","",IF(N164="Y",INDEX(#REF!,MATCH(C164,#REF!,0)),C164))</f>
        <v>4 - Manager</v>
      </c>
      <c r="N164" t="s">
        <v>52</v>
      </c>
      <c r="O164" t="s">
        <v>41</v>
      </c>
      <c r="P164">
        <v>36</v>
      </c>
      <c r="Q164" t="s">
        <v>9</v>
      </c>
      <c r="R164" t="s">
        <v>9</v>
      </c>
      <c r="S164" t="s">
        <v>9</v>
      </c>
      <c r="T164" s="2">
        <v>42826</v>
      </c>
      <c r="U164">
        <v>3</v>
      </c>
      <c r="V164">
        <f t="shared" ca="1" si="2"/>
        <v>0.31129489147361444</v>
      </c>
    </row>
    <row r="165" spans="1:22">
      <c r="A165">
        <v>164</v>
      </c>
      <c r="B165" t="s">
        <v>1</v>
      </c>
      <c r="C165" s="3" t="s">
        <v>61</v>
      </c>
      <c r="D165" t="s">
        <v>52</v>
      </c>
      <c r="E165">
        <v>3</v>
      </c>
      <c r="F165" t="s">
        <v>51</v>
      </c>
      <c r="G165" t="s">
        <v>50</v>
      </c>
      <c r="H165" t="s">
        <v>5</v>
      </c>
      <c r="I165" t="s">
        <v>5</v>
      </c>
      <c r="J165" s="1" t="s">
        <v>39</v>
      </c>
      <c r="K165" t="s">
        <v>39</v>
      </c>
      <c r="L165">
        <v>7</v>
      </c>
      <c r="M165" t="str">
        <f>IF(D165="Y","",IF(N165="Y",INDEX(#REF!,MATCH(C165,#REF!,0)),C165))</f>
        <v>5 - Senior Officer</v>
      </c>
      <c r="N165" t="s">
        <v>52</v>
      </c>
      <c r="O165" t="s">
        <v>43</v>
      </c>
      <c r="P165">
        <v>56</v>
      </c>
      <c r="Q165" t="s">
        <v>21</v>
      </c>
      <c r="R165" t="s">
        <v>45</v>
      </c>
      <c r="S165" t="s">
        <v>45</v>
      </c>
      <c r="T165" s="2">
        <v>40634</v>
      </c>
      <c r="U165">
        <v>9</v>
      </c>
      <c r="V165">
        <f t="shared" ca="1" si="2"/>
        <v>0.71979279672400742</v>
      </c>
    </row>
    <row r="166" spans="1:22">
      <c r="A166">
        <v>165</v>
      </c>
      <c r="B166" t="s">
        <v>0</v>
      </c>
      <c r="C166" t="s">
        <v>56</v>
      </c>
      <c r="D166" t="s">
        <v>52</v>
      </c>
      <c r="E166">
        <v>3</v>
      </c>
      <c r="F166" t="s">
        <v>53</v>
      </c>
      <c r="G166" t="s">
        <v>50</v>
      </c>
      <c r="H166" t="s">
        <v>5</v>
      </c>
      <c r="I166" t="s">
        <v>5</v>
      </c>
      <c r="J166" s="1" t="s">
        <v>39</v>
      </c>
      <c r="K166" t="s">
        <v>39</v>
      </c>
      <c r="L166">
        <v>1</v>
      </c>
      <c r="M166" t="str">
        <f>IF(D166="Y","",IF(N166="Y",INDEX(#REF!,MATCH(C166,#REF!,0)),C166))</f>
        <v>6 - Junior Officer</v>
      </c>
      <c r="N166" t="s">
        <v>52</v>
      </c>
      <c r="O166" t="s">
        <v>40</v>
      </c>
      <c r="P166">
        <v>26</v>
      </c>
      <c r="Q166" t="s">
        <v>20</v>
      </c>
      <c r="R166" t="s">
        <v>45</v>
      </c>
      <c r="S166" t="s">
        <v>45</v>
      </c>
      <c r="T166" s="2">
        <v>43556</v>
      </c>
      <c r="U166">
        <v>1</v>
      </c>
      <c r="V166">
        <f t="shared" ca="1" si="2"/>
        <v>0.37186938855794716</v>
      </c>
    </row>
    <row r="167" spans="1:22">
      <c r="A167">
        <v>166</v>
      </c>
      <c r="B167" t="s">
        <v>1</v>
      </c>
      <c r="C167" t="s">
        <v>61</v>
      </c>
      <c r="D167" t="s">
        <v>52</v>
      </c>
      <c r="E167">
        <v>2</v>
      </c>
      <c r="F167" t="s">
        <v>53</v>
      </c>
      <c r="G167" t="s">
        <v>50</v>
      </c>
      <c r="H167" t="s">
        <v>7</v>
      </c>
      <c r="I167" t="s">
        <v>7</v>
      </c>
      <c r="J167" s="1" t="s">
        <v>39</v>
      </c>
      <c r="K167" t="s">
        <v>39</v>
      </c>
      <c r="L167">
        <v>3</v>
      </c>
      <c r="M167" t="str">
        <f>IF(D167="Y","",IF(N167="Y",INDEX(#REF!,MATCH(C167,#REF!,0)),C167))</f>
        <v>5 - Senior Officer</v>
      </c>
      <c r="N167" t="s">
        <v>52</v>
      </c>
      <c r="O167" t="s">
        <v>40</v>
      </c>
      <c r="P167">
        <v>24</v>
      </c>
      <c r="Q167" t="s">
        <v>9</v>
      </c>
      <c r="R167" t="s">
        <v>9</v>
      </c>
      <c r="S167" t="s">
        <v>9</v>
      </c>
      <c r="T167" s="2">
        <v>41365</v>
      </c>
      <c r="U167">
        <v>7</v>
      </c>
      <c r="V167">
        <f t="shared" ca="1" si="2"/>
        <v>3.1864611512547825E-2</v>
      </c>
    </row>
    <row r="168" spans="1:22">
      <c r="A168">
        <v>167</v>
      </c>
      <c r="B168" t="s">
        <v>1</v>
      </c>
      <c r="C168" t="s">
        <v>58</v>
      </c>
      <c r="D168" t="s">
        <v>52</v>
      </c>
      <c r="E168">
        <v>2</v>
      </c>
      <c r="F168" t="s">
        <v>53</v>
      </c>
      <c r="G168" t="s">
        <v>50</v>
      </c>
      <c r="H168" t="s">
        <v>6</v>
      </c>
      <c r="I168" t="s">
        <v>6</v>
      </c>
      <c r="J168" s="1" t="s">
        <v>39</v>
      </c>
      <c r="K168" t="s">
        <v>39</v>
      </c>
      <c r="L168">
        <v>2</v>
      </c>
      <c r="M168" t="str">
        <f>IF(D168="Y","",IF(N168="Y",INDEX(#REF!,MATCH(C168,#REF!,0)),C168))</f>
        <v>3 - Senior Manager</v>
      </c>
      <c r="N168" t="s">
        <v>52</v>
      </c>
      <c r="O168" t="s">
        <v>42</v>
      </c>
      <c r="P168">
        <v>40</v>
      </c>
      <c r="Q168" t="s">
        <v>19</v>
      </c>
      <c r="R168" t="s">
        <v>45</v>
      </c>
      <c r="S168" t="s">
        <v>45</v>
      </c>
      <c r="T168" s="2">
        <v>42826</v>
      </c>
      <c r="U168">
        <v>3</v>
      </c>
      <c r="V168">
        <f t="shared" ca="1" si="2"/>
        <v>0.60383772811705527</v>
      </c>
    </row>
    <row r="169" spans="1:22">
      <c r="A169">
        <v>168</v>
      </c>
      <c r="B169" t="s">
        <v>1</v>
      </c>
      <c r="C169" t="s">
        <v>61</v>
      </c>
      <c r="D169" t="s">
        <v>52</v>
      </c>
      <c r="E169">
        <v>2</v>
      </c>
      <c r="F169" t="s">
        <v>53</v>
      </c>
      <c r="G169" t="s">
        <v>50</v>
      </c>
      <c r="H169" t="s">
        <v>7</v>
      </c>
      <c r="I169" t="s">
        <v>7</v>
      </c>
      <c r="J169" s="1" t="s">
        <v>39</v>
      </c>
      <c r="K169" t="s">
        <v>39</v>
      </c>
      <c r="L169">
        <v>3</v>
      </c>
      <c r="M169" t="str">
        <f>IF(D169="Y","",IF(N169="Y",INDEX(#REF!,MATCH(C169,#REF!,0)),C169))</f>
        <v>5 - Senior Officer</v>
      </c>
      <c r="N169" t="s">
        <v>52</v>
      </c>
      <c r="O169" t="s">
        <v>40</v>
      </c>
      <c r="P169">
        <v>25</v>
      </c>
      <c r="Q169" t="s">
        <v>20</v>
      </c>
      <c r="R169" t="s">
        <v>45</v>
      </c>
      <c r="S169" t="s">
        <v>45</v>
      </c>
      <c r="T169" s="2">
        <v>40634</v>
      </c>
      <c r="U169">
        <v>9</v>
      </c>
      <c r="V169">
        <f t="shared" ca="1" si="2"/>
        <v>0.56085634813610064</v>
      </c>
    </row>
    <row r="170" spans="1:22">
      <c r="A170">
        <v>169</v>
      </c>
      <c r="B170" t="s">
        <v>0</v>
      </c>
      <c r="C170" t="s">
        <v>61</v>
      </c>
      <c r="D170" t="s">
        <v>52</v>
      </c>
      <c r="E170">
        <v>1</v>
      </c>
      <c r="F170" t="s">
        <v>53</v>
      </c>
      <c r="G170" t="s">
        <v>50</v>
      </c>
      <c r="H170" t="s">
        <v>7</v>
      </c>
      <c r="I170" t="s">
        <v>7</v>
      </c>
      <c r="J170" s="1" t="s">
        <v>39</v>
      </c>
      <c r="K170" t="s">
        <v>39</v>
      </c>
      <c r="L170">
        <v>2</v>
      </c>
      <c r="M170" t="str">
        <f>IF(D170="Y","",IF(N170="Y",INDEX(#REF!,MATCH(C170,#REF!,0)),C170))</f>
        <v>5 - Senior Officer</v>
      </c>
      <c r="N170" t="s">
        <v>52</v>
      </c>
      <c r="O170" t="s">
        <v>41</v>
      </c>
      <c r="P170">
        <v>32</v>
      </c>
      <c r="Q170" t="s">
        <v>20</v>
      </c>
      <c r="R170" t="s">
        <v>45</v>
      </c>
      <c r="S170" t="s">
        <v>45</v>
      </c>
      <c r="T170" s="2">
        <v>43191</v>
      </c>
      <c r="U170">
        <v>2</v>
      </c>
      <c r="V170">
        <f t="shared" ca="1" si="2"/>
        <v>0.69293931153220834</v>
      </c>
    </row>
    <row r="171" spans="1:22">
      <c r="A171">
        <v>170</v>
      </c>
      <c r="B171" t="s">
        <v>1</v>
      </c>
      <c r="C171" t="s">
        <v>57</v>
      </c>
      <c r="D171" t="s">
        <v>52</v>
      </c>
      <c r="E171">
        <v>2</v>
      </c>
      <c r="F171" t="s">
        <v>53</v>
      </c>
      <c r="G171" t="s">
        <v>50</v>
      </c>
      <c r="H171" t="s">
        <v>7</v>
      </c>
      <c r="I171" t="s">
        <v>7</v>
      </c>
      <c r="J171" s="1" t="s">
        <v>39</v>
      </c>
      <c r="K171" t="s">
        <v>39</v>
      </c>
      <c r="L171">
        <v>3</v>
      </c>
      <c r="M171" t="str">
        <f>IF(D171="Y","",IF(N171="Y",INDEX(#REF!,MATCH(C171,#REF!,0)),C171))</f>
        <v>4 - Manager</v>
      </c>
      <c r="N171" t="s">
        <v>52</v>
      </c>
      <c r="O171" t="s">
        <v>41</v>
      </c>
      <c r="P171">
        <v>35</v>
      </c>
      <c r="Q171" t="s">
        <v>9</v>
      </c>
      <c r="R171" t="s">
        <v>9</v>
      </c>
      <c r="S171" t="s">
        <v>9</v>
      </c>
      <c r="T171" s="2">
        <v>42826</v>
      </c>
      <c r="U171">
        <v>3</v>
      </c>
      <c r="V171">
        <f t="shared" ca="1" si="2"/>
        <v>0.60098724257905656</v>
      </c>
    </row>
    <row r="172" spans="1:22">
      <c r="A172">
        <v>171</v>
      </c>
      <c r="B172" t="s">
        <v>0</v>
      </c>
      <c r="C172" t="s">
        <v>57</v>
      </c>
      <c r="D172" t="s">
        <v>52</v>
      </c>
      <c r="E172">
        <v>3</v>
      </c>
      <c r="F172" t="s">
        <v>53</v>
      </c>
      <c r="G172" t="s">
        <v>50</v>
      </c>
      <c r="H172" t="s">
        <v>7</v>
      </c>
      <c r="I172" t="s">
        <v>7</v>
      </c>
      <c r="J172" s="1">
        <v>0.8</v>
      </c>
      <c r="K172" t="s">
        <v>38</v>
      </c>
      <c r="L172">
        <v>2</v>
      </c>
      <c r="M172" t="str">
        <f>IF(D172="Y","",IF(N172="Y",INDEX(#REF!,MATCH(C172,#REF!,0)),C172))</f>
        <v>4 - Manager</v>
      </c>
      <c r="N172" t="s">
        <v>52</v>
      </c>
      <c r="O172" t="s">
        <v>42</v>
      </c>
      <c r="P172">
        <v>41</v>
      </c>
      <c r="Q172" t="s">
        <v>15</v>
      </c>
      <c r="R172" t="s">
        <v>45</v>
      </c>
      <c r="S172" t="s">
        <v>45</v>
      </c>
      <c r="T172" s="2">
        <v>40634</v>
      </c>
      <c r="U172">
        <v>9</v>
      </c>
      <c r="V172">
        <f t="shared" ca="1" si="2"/>
        <v>0.61328581190353548</v>
      </c>
    </row>
    <row r="173" spans="1:22">
      <c r="A173">
        <v>172</v>
      </c>
      <c r="B173" t="s">
        <v>1</v>
      </c>
      <c r="C173" t="s">
        <v>58</v>
      </c>
      <c r="D173" t="s">
        <v>52</v>
      </c>
      <c r="E173">
        <v>3</v>
      </c>
      <c r="F173" t="s">
        <v>53</v>
      </c>
      <c r="G173" t="s">
        <v>50</v>
      </c>
      <c r="H173" t="s">
        <v>4</v>
      </c>
      <c r="I173" t="s">
        <v>4</v>
      </c>
      <c r="J173" s="1" t="s">
        <v>39</v>
      </c>
      <c r="K173" t="s">
        <v>39</v>
      </c>
      <c r="L173">
        <v>3</v>
      </c>
      <c r="M173" t="str">
        <f>IF(D173="Y","",IF(N173="Y",INDEX(#REF!,MATCH(C173,#REF!,0)),C173))</f>
        <v>3 - Senior Manager</v>
      </c>
      <c r="N173" t="s">
        <v>52</v>
      </c>
      <c r="O173" t="s">
        <v>41</v>
      </c>
      <c r="P173">
        <v>36</v>
      </c>
      <c r="Q173" t="s">
        <v>9</v>
      </c>
      <c r="R173" t="s">
        <v>9</v>
      </c>
      <c r="S173" t="s">
        <v>9</v>
      </c>
      <c r="T173" s="2">
        <v>42461</v>
      </c>
      <c r="U173">
        <v>4</v>
      </c>
      <c r="V173">
        <f t="shared" ca="1" si="2"/>
        <v>0.51437699078982457</v>
      </c>
    </row>
    <row r="174" spans="1:22">
      <c r="A174">
        <v>173</v>
      </c>
      <c r="B174" t="s">
        <v>0</v>
      </c>
      <c r="C174" t="s">
        <v>61</v>
      </c>
      <c r="D174" t="s">
        <v>52</v>
      </c>
      <c r="E174">
        <v>2</v>
      </c>
      <c r="F174" t="s">
        <v>53</v>
      </c>
      <c r="G174" t="s">
        <v>50</v>
      </c>
      <c r="H174" t="s">
        <v>5</v>
      </c>
      <c r="I174" t="s">
        <v>5</v>
      </c>
      <c r="J174" s="1">
        <v>0.4</v>
      </c>
      <c r="K174" t="s">
        <v>38</v>
      </c>
      <c r="L174">
        <v>1</v>
      </c>
      <c r="M174" t="e">
        <f>IF(D174="Y","",IF(N174="Y",INDEX(#REF!,MATCH(C174,#REF!,0)),C174))</f>
        <v>#REF!</v>
      </c>
      <c r="N174" t="s">
        <v>50</v>
      </c>
      <c r="O174" t="s">
        <v>41</v>
      </c>
      <c r="P174">
        <v>30</v>
      </c>
      <c r="Q174" t="s">
        <v>15</v>
      </c>
      <c r="R174" t="s">
        <v>45</v>
      </c>
      <c r="S174" t="s">
        <v>45</v>
      </c>
      <c r="T174" s="2">
        <v>41365</v>
      </c>
      <c r="U174">
        <v>7</v>
      </c>
      <c r="V174">
        <f t="shared" ca="1" si="2"/>
        <v>5.7676185659021995E-2</v>
      </c>
    </row>
    <row r="175" spans="1:22">
      <c r="A175">
        <v>174</v>
      </c>
      <c r="B175" t="s">
        <v>1</v>
      </c>
      <c r="C175" t="s">
        <v>59</v>
      </c>
      <c r="D175" t="s">
        <v>52</v>
      </c>
      <c r="E175">
        <v>2</v>
      </c>
      <c r="F175" t="s">
        <v>53</v>
      </c>
      <c r="G175" t="s">
        <v>50</v>
      </c>
      <c r="H175" t="s">
        <v>5</v>
      </c>
      <c r="I175" t="s">
        <v>5</v>
      </c>
      <c r="J175" s="1" t="s">
        <v>39</v>
      </c>
      <c r="K175" t="s">
        <v>39</v>
      </c>
      <c r="L175">
        <v>3</v>
      </c>
      <c r="M175" t="str">
        <f>IF(D175="Y","",IF(N175="Y",INDEX(#REF!,MATCH(C175,#REF!,0)),C175))</f>
        <v>2 - Director</v>
      </c>
      <c r="N175" t="s">
        <v>52</v>
      </c>
      <c r="O175" t="s">
        <v>42</v>
      </c>
      <c r="P175">
        <v>44</v>
      </c>
      <c r="Q175" t="s">
        <v>20</v>
      </c>
      <c r="R175" t="s">
        <v>45</v>
      </c>
      <c r="S175" t="s">
        <v>45</v>
      </c>
      <c r="T175" s="2">
        <v>40634</v>
      </c>
      <c r="U175">
        <v>9</v>
      </c>
      <c r="V175">
        <f t="shared" ca="1" si="2"/>
        <v>0.83018438266702987</v>
      </c>
    </row>
    <row r="176" spans="1:22">
      <c r="A176">
        <v>175</v>
      </c>
      <c r="B176" t="s">
        <v>1</v>
      </c>
      <c r="C176" t="s">
        <v>61</v>
      </c>
      <c r="D176" t="s">
        <v>52</v>
      </c>
      <c r="E176">
        <v>2</v>
      </c>
      <c r="F176" t="s">
        <v>53</v>
      </c>
      <c r="G176" t="s">
        <v>50</v>
      </c>
      <c r="H176" t="s">
        <v>3</v>
      </c>
      <c r="I176" t="s">
        <v>3</v>
      </c>
      <c r="J176" s="1" t="s">
        <v>39</v>
      </c>
      <c r="K176" t="s">
        <v>39</v>
      </c>
      <c r="L176">
        <v>1</v>
      </c>
      <c r="M176" t="e">
        <f>IF(D176="Y","",IF(N176="Y",INDEX(#REF!,MATCH(C176,#REF!,0)),C176))</f>
        <v>#REF!</v>
      </c>
      <c r="N176" t="s">
        <v>50</v>
      </c>
      <c r="O176" t="s">
        <v>41</v>
      </c>
      <c r="P176">
        <v>36</v>
      </c>
      <c r="Q176" t="s">
        <v>9</v>
      </c>
      <c r="R176" t="s">
        <v>9</v>
      </c>
      <c r="S176" t="s">
        <v>9</v>
      </c>
      <c r="T176" s="2">
        <v>42461</v>
      </c>
      <c r="U176">
        <v>4</v>
      </c>
      <c r="V176">
        <f t="shared" ca="1" si="2"/>
        <v>0.37170593350329595</v>
      </c>
    </row>
    <row r="177" spans="1:22">
      <c r="A177">
        <v>176</v>
      </c>
      <c r="B177" t="s">
        <v>0</v>
      </c>
      <c r="C177" t="s">
        <v>58</v>
      </c>
      <c r="D177" t="s">
        <v>52</v>
      </c>
      <c r="E177">
        <v>2</v>
      </c>
      <c r="F177" t="s">
        <v>53</v>
      </c>
      <c r="G177" t="s">
        <v>50</v>
      </c>
      <c r="H177" t="s">
        <v>6</v>
      </c>
      <c r="I177" t="s">
        <v>6</v>
      </c>
      <c r="J177" s="1" t="s">
        <v>39</v>
      </c>
      <c r="K177" t="s">
        <v>39</v>
      </c>
      <c r="L177">
        <v>4</v>
      </c>
      <c r="M177" t="str">
        <f>IF(D177="Y","",IF(N177="Y",INDEX(#REF!,MATCH(C177,#REF!,0)),C177))</f>
        <v>3 - Senior Manager</v>
      </c>
      <c r="N177" t="s">
        <v>52</v>
      </c>
      <c r="O177" t="s">
        <v>42</v>
      </c>
      <c r="P177">
        <v>46</v>
      </c>
      <c r="Q177" t="s">
        <v>20</v>
      </c>
      <c r="R177" t="s">
        <v>45</v>
      </c>
      <c r="S177" t="s">
        <v>45</v>
      </c>
      <c r="T177" s="2">
        <v>42461</v>
      </c>
      <c r="U177">
        <v>4</v>
      </c>
      <c r="V177">
        <f t="shared" ca="1" si="2"/>
        <v>2.3086200357035791E-2</v>
      </c>
    </row>
    <row r="178" spans="1:22">
      <c r="A178">
        <v>177</v>
      </c>
      <c r="B178" t="s">
        <v>1</v>
      </c>
      <c r="C178" t="s">
        <v>57</v>
      </c>
      <c r="D178" t="s">
        <v>52</v>
      </c>
      <c r="E178">
        <v>3</v>
      </c>
      <c r="F178" t="s">
        <v>53</v>
      </c>
      <c r="G178" t="s">
        <v>50</v>
      </c>
      <c r="H178" t="s">
        <v>5</v>
      </c>
      <c r="I178" t="s">
        <v>5</v>
      </c>
      <c r="J178" s="1" t="s">
        <v>39</v>
      </c>
      <c r="K178" t="s">
        <v>39</v>
      </c>
      <c r="L178">
        <v>3</v>
      </c>
      <c r="M178" t="str">
        <f>IF(D178="Y","",IF(N178="Y",INDEX(#REF!,MATCH(C178,#REF!,0)),C178))</f>
        <v>4 - Manager</v>
      </c>
      <c r="N178" t="s">
        <v>52</v>
      </c>
      <c r="O178" t="s">
        <v>41</v>
      </c>
      <c r="P178">
        <v>30</v>
      </c>
      <c r="Q178" t="s">
        <v>11</v>
      </c>
      <c r="R178" t="s">
        <v>45</v>
      </c>
      <c r="S178" t="s">
        <v>45</v>
      </c>
      <c r="T178" s="2">
        <v>42095</v>
      </c>
      <c r="U178">
        <v>5</v>
      </c>
      <c r="V178">
        <f t="shared" ca="1" si="2"/>
        <v>0.33873060185063109</v>
      </c>
    </row>
    <row r="179" spans="1:22">
      <c r="A179">
        <v>178</v>
      </c>
      <c r="B179" t="s">
        <v>1</v>
      </c>
      <c r="C179" t="s">
        <v>61</v>
      </c>
      <c r="D179" t="s">
        <v>52</v>
      </c>
      <c r="E179">
        <v>3</v>
      </c>
      <c r="F179" t="s">
        <v>53</v>
      </c>
      <c r="G179" t="s">
        <v>50</v>
      </c>
      <c r="H179" t="s">
        <v>6</v>
      </c>
      <c r="I179" t="s">
        <v>6</v>
      </c>
      <c r="J179" s="1">
        <v>0.9</v>
      </c>
      <c r="K179" t="s">
        <v>38</v>
      </c>
      <c r="L179">
        <v>2</v>
      </c>
      <c r="M179" t="str">
        <f>IF(D179="Y","",IF(N179="Y",INDEX(#REF!,MATCH(C179,#REF!,0)),C179))</f>
        <v>5 - Senior Officer</v>
      </c>
      <c r="N179" t="s">
        <v>52</v>
      </c>
      <c r="O179" t="s">
        <v>41</v>
      </c>
      <c r="P179">
        <v>34</v>
      </c>
      <c r="Q179" t="s">
        <v>9</v>
      </c>
      <c r="R179" t="s">
        <v>9</v>
      </c>
      <c r="S179" t="s">
        <v>9</v>
      </c>
      <c r="T179" s="2">
        <v>40634</v>
      </c>
      <c r="U179">
        <v>9</v>
      </c>
      <c r="V179">
        <f t="shared" ca="1" si="2"/>
        <v>0.56666874097675213</v>
      </c>
    </row>
    <row r="180" spans="1:22">
      <c r="A180">
        <v>179</v>
      </c>
      <c r="B180" t="s">
        <v>1</v>
      </c>
      <c r="C180" t="s">
        <v>61</v>
      </c>
      <c r="D180" t="s">
        <v>52</v>
      </c>
      <c r="E180">
        <v>2</v>
      </c>
      <c r="F180" t="s">
        <v>53</v>
      </c>
      <c r="G180" t="s">
        <v>50</v>
      </c>
      <c r="H180" t="s">
        <v>7</v>
      </c>
      <c r="I180" t="s">
        <v>7</v>
      </c>
      <c r="J180" s="1" t="s">
        <v>39</v>
      </c>
      <c r="K180" t="s">
        <v>39</v>
      </c>
      <c r="L180">
        <v>4</v>
      </c>
      <c r="M180" t="str">
        <f>IF(D180="Y","",IF(N180="Y",INDEX(#REF!,MATCH(C180,#REF!,0)),C180))</f>
        <v>5 - Senior Officer</v>
      </c>
      <c r="N180" t="s">
        <v>52</v>
      </c>
      <c r="O180" t="s">
        <v>41</v>
      </c>
      <c r="P180">
        <v>33</v>
      </c>
      <c r="Q180" t="s">
        <v>19</v>
      </c>
      <c r="R180" t="s">
        <v>45</v>
      </c>
      <c r="S180" t="s">
        <v>45</v>
      </c>
      <c r="T180" s="2">
        <v>42095</v>
      </c>
      <c r="U180">
        <v>5</v>
      </c>
      <c r="V180">
        <f t="shared" ca="1" si="2"/>
        <v>0.72147264108309095</v>
      </c>
    </row>
    <row r="181" spans="1:22">
      <c r="A181">
        <v>180</v>
      </c>
      <c r="B181" t="s">
        <v>1</v>
      </c>
      <c r="C181" s="3" t="s">
        <v>58</v>
      </c>
      <c r="D181" t="s">
        <v>52</v>
      </c>
      <c r="E181">
        <v>2</v>
      </c>
      <c r="F181" t="s">
        <v>51</v>
      </c>
      <c r="G181" t="s">
        <v>50</v>
      </c>
      <c r="H181" t="s">
        <v>4</v>
      </c>
      <c r="I181" t="s">
        <v>4</v>
      </c>
      <c r="J181" s="1" t="s">
        <v>39</v>
      </c>
      <c r="K181" t="s">
        <v>39</v>
      </c>
      <c r="L181">
        <v>2</v>
      </c>
      <c r="M181" t="str">
        <f>IF(D181="Y","",IF(N181="Y",INDEX(#REF!,MATCH(C181,#REF!,0)),C181))</f>
        <v>3 - Senior Manager</v>
      </c>
      <c r="N181" t="s">
        <v>52</v>
      </c>
      <c r="O181" t="s">
        <v>41</v>
      </c>
      <c r="P181">
        <v>34</v>
      </c>
      <c r="Q181" t="s">
        <v>9</v>
      </c>
      <c r="R181" t="s">
        <v>9</v>
      </c>
      <c r="S181" t="s">
        <v>9</v>
      </c>
      <c r="T181" s="2">
        <v>42461</v>
      </c>
      <c r="U181">
        <v>4</v>
      </c>
      <c r="V181">
        <f t="shared" ca="1" si="2"/>
        <v>2.698175505111422E-5</v>
      </c>
    </row>
    <row r="182" spans="1:22">
      <c r="A182">
        <v>181</v>
      </c>
      <c r="B182" t="s">
        <v>0</v>
      </c>
      <c r="C182" t="s">
        <v>61</v>
      </c>
      <c r="D182" t="s">
        <v>52</v>
      </c>
      <c r="E182">
        <v>3</v>
      </c>
      <c r="F182" t="s">
        <v>53</v>
      </c>
      <c r="G182" t="s">
        <v>50</v>
      </c>
      <c r="H182" t="s">
        <v>5</v>
      </c>
      <c r="I182" t="s">
        <v>5</v>
      </c>
      <c r="J182" s="1" t="s">
        <v>39</v>
      </c>
      <c r="K182" t="s">
        <v>39</v>
      </c>
      <c r="L182">
        <v>1</v>
      </c>
      <c r="M182" t="e">
        <f>IF(D182="Y","",IF(N182="Y",INDEX(#REF!,MATCH(C182,#REF!,0)),C182))</f>
        <v>#REF!</v>
      </c>
      <c r="N182" t="s">
        <v>50</v>
      </c>
      <c r="O182" t="s">
        <v>40</v>
      </c>
      <c r="P182">
        <v>29</v>
      </c>
      <c r="Q182" t="s">
        <v>15</v>
      </c>
      <c r="R182" t="s">
        <v>45</v>
      </c>
      <c r="S182" t="s">
        <v>45</v>
      </c>
      <c r="T182" s="2">
        <v>41000</v>
      </c>
      <c r="U182">
        <v>8</v>
      </c>
      <c r="V182">
        <f t="shared" ca="1" si="2"/>
        <v>0.17052406764862171</v>
      </c>
    </row>
    <row r="183" spans="1:22">
      <c r="A183">
        <v>182</v>
      </c>
      <c r="B183" t="s">
        <v>0</v>
      </c>
      <c r="C183" s="3" t="s">
        <v>56</v>
      </c>
      <c r="D183" t="s">
        <v>52</v>
      </c>
      <c r="E183">
        <v>3</v>
      </c>
      <c r="F183" t="s">
        <v>51</v>
      </c>
      <c r="G183" t="s">
        <v>50</v>
      </c>
      <c r="H183" t="s">
        <v>6</v>
      </c>
      <c r="I183" t="s">
        <v>6</v>
      </c>
      <c r="J183" s="1" t="s">
        <v>39</v>
      </c>
      <c r="K183" t="s">
        <v>39</v>
      </c>
      <c r="L183">
        <v>2</v>
      </c>
      <c r="M183" t="str">
        <f>IF(D183="Y","",IF(N183="Y",INDEX(#REF!,MATCH(C183,#REF!,0)),C183))</f>
        <v>6 - Junior Officer</v>
      </c>
      <c r="N183" t="s">
        <v>52</v>
      </c>
      <c r="O183" t="s">
        <v>42</v>
      </c>
      <c r="P183">
        <v>44</v>
      </c>
      <c r="Q183" t="s">
        <v>19</v>
      </c>
      <c r="R183" t="s">
        <v>45</v>
      </c>
      <c r="S183" t="s">
        <v>45</v>
      </c>
      <c r="T183" s="2">
        <v>43191</v>
      </c>
      <c r="U183">
        <v>2</v>
      </c>
      <c r="V183">
        <f t="shared" ca="1" si="2"/>
        <v>0.24118956976282691</v>
      </c>
    </row>
    <row r="184" spans="1:22">
      <c r="A184">
        <v>183</v>
      </c>
      <c r="B184" t="s">
        <v>0</v>
      </c>
      <c r="C184" t="s">
        <v>61</v>
      </c>
      <c r="D184" t="s">
        <v>52</v>
      </c>
      <c r="E184">
        <v>2</v>
      </c>
      <c r="F184" t="s">
        <v>53</v>
      </c>
      <c r="G184" t="s">
        <v>50</v>
      </c>
      <c r="H184" t="s">
        <v>5</v>
      </c>
      <c r="I184" t="s">
        <v>5</v>
      </c>
      <c r="J184" s="1">
        <v>0.6</v>
      </c>
      <c r="K184" t="s">
        <v>38</v>
      </c>
      <c r="L184">
        <v>3</v>
      </c>
      <c r="M184" t="str">
        <f>IF(D184="Y","",IF(N184="Y",INDEX(#REF!,MATCH(C184,#REF!,0)),C184))</f>
        <v>5 - Senior Officer</v>
      </c>
      <c r="N184" t="s">
        <v>52</v>
      </c>
      <c r="O184" t="s">
        <v>40</v>
      </c>
      <c r="P184">
        <v>28</v>
      </c>
      <c r="Q184" t="s">
        <v>27</v>
      </c>
      <c r="R184" t="s">
        <v>46</v>
      </c>
      <c r="S184" t="s">
        <v>49</v>
      </c>
      <c r="T184" s="2">
        <v>42826</v>
      </c>
      <c r="U184">
        <v>3</v>
      </c>
      <c r="V184">
        <f t="shared" ca="1" si="2"/>
        <v>0.38252648173150172</v>
      </c>
    </row>
    <row r="185" spans="1:22">
      <c r="A185">
        <v>184</v>
      </c>
      <c r="B185" t="s">
        <v>1</v>
      </c>
      <c r="C185" t="s">
        <v>56</v>
      </c>
      <c r="D185" t="s">
        <v>50</v>
      </c>
      <c r="F185" t="s">
        <v>53</v>
      </c>
      <c r="G185" t="s">
        <v>52</v>
      </c>
      <c r="H185" t="s">
        <v>6</v>
      </c>
      <c r="I185" t="s">
        <v>6</v>
      </c>
      <c r="J185" s="1">
        <v>0.8</v>
      </c>
      <c r="K185" t="s">
        <v>38</v>
      </c>
      <c r="L185">
        <v>0</v>
      </c>
      <c r="M185" t="str">
        <f>IF(D185="Y","",IF(N185="Y",INDEX(#REF!,MATCH(C185,#REF!,0)),C185))</f>
        <v/>
      </c>
      <c r="N185" t="s">
        <v>52</v>
      </c>
      <c r="O185" t="s">
        <v>40</v>
      </c>
      <c r="P185">
        <v>22</v>
      </c>
      <c r="Q185" t="s">
        <v>9</v>
      </c>
      <c r="R185" t="s">
        <v>9</v>
      </c>
      <c r="S185" t="s">
        <v>9</v>
      </c>
      <c r="T185" s="2">
        <v>43922</v>
      </c>
      <c r="U185">
        <v>0</v>
      </c>
      <c r="V185">
        <f t="shared" ca="1" si="2"/>
        <v>0.14789452638665945</v>
      </c>
    </row>
    <row r="186" spans="1:22">
      <c r="A186">
        <v>185</v>
      </c>
      <c r="B186" t="s">
        <v>1</v>
      </c>
      <c r="C186" t="s">
        <v>56</v>
      </c>
      <c r="D186" t="s">
        <v>50</v>
      </c>
      <c r="F186" t="s">
        <v>53</v>
      </c>
      <c r="G186" t="s">
        <v>52</v>
      </c>
      <c r="H186" t="s">
        <v>7</v>
      </c>
      <c r="I186" t="s">
        <v>7</v>
      </c>
      <c r="J186" s="1" t="s">
        <v>39</v>
      </c>
      <c r="K186" t="s">
        <v>39</v>
      </c>
      <c r="L186">
        <v>0</v>
      </c>
      <c r="M186" t="str">
        <f>IF(D186="Y","",IF(N186="Y",INDEX(#REF!,MATCH(C186,#REF!,0)),C186))</f>
        <v/>
      </c>
      <c r="N186" t="s">
        <v>52</v>
      </c>
      <c r="O186" t="s">
        <v>40</v>
      </c>
      <c r="P186">
        <v>25</v>
      </c>
      <c r="Q186" t="s">
        <v>19</v>
      </c>
      <c r="R186" t="s">
        <v>45</v>
      </c>
      <c r="S186" t="s">
        <v>45</v>
      </c>
      <c r="T186" s="2">
        <v>43922</v>
      </c>
      <c r="U186">
        <v>0</v>
      </c>
      <c r="V186">
        <f t="shared" ca="1" si="2"/>
        <v>5.3590770746604788E-2</v>
      </c>
    </row>
    <row r="187" spans="1:22">
      <c r="A187">
        <v>186</v>
      </c>
      <c r="B187" t="s">
        <v>0</v>
      </c>
      <c r="C187" t="s">
        <v>56</v>
      </c>
      <c r="D187" t="s">
        <v>52</v>
      </c>
      <c r="E187">
        <v>3</v>
      </c>
      <c r="F187" t="s">
        <v>53</v>
      </c>
      <c r="G187" t="s">
        <v>50</v>
      </c>
      <c r="H187" t="s">
        <v>5</v>
      </c>
      <c r="I187" t="s">
        <v>5</v>
      </c>
      <c r="J187" s="1" t="s">
        <v>39</v>
      </c>
      <c r="K187" t="s">
        <v>39</v>
      </c>
      <c r="L187">
        <v>2</v>
      </c>
      <c r="M187" t="str">
        <f>IF(D187="Y","",IF(N187="Y",INDEX(#REF!,MATCH(C187,#REF!,0)),C187))</f>
        <v>6 - Junior Officer</v>
      </c>
      <c r="N187" t="s">
        <v>52</v>
      </c>
      <c r="O187" t="s">
        <v>40</v>
      </c>
      <c r="P187">
        <v>28</v>
      </c>
      <c r="Q187" t="s">
        <v>19</v>
      </c>
      <c r="R187" t="s">
        <v>45</v>
      </c>
      <c r="S187" t="s">
        <v>45</v>
      </c>
      <c r="T187" s="2">
        <v>43191</v>
      </c>
      <c r="U187">
        <v>2</v>
      </c>
      <c r="V187">
        <f t="shared" ca="1" si="2"/>
        <v>0.37357353837075347</v>
      </c>
    </row>
    <row r="188" spans="1:22">
      <c r="A188">
        <v>187</v>
      </c>
      <c r="B188" t="s">
        <v>1</v>
      </c>
      <c r="C188" t="s">
        <v>61</v>
      </c>
      <c r="D188" t="s">
        <v>52</v>
      </c>
      <c r="E188">
        <v>1</v>
      </c>
      <c r="F188" t="s">
        <v>53</v>
      </c>
      <c r="G188" t="s">
        <v>50</v>
      </c>
      <c r="H188" t="s">
        <v>7</v>
      </c>
      <c r="I188" t="s">
        <v>7</v>
      </c>
      <c r="J188" s="1" t="s">
        <v>39</v>
      </c>
      <c r="K188" t="s">
        <v>39</v>
      </c>
      <c r="L188">
        <v>3</v>
      </c>
      <c r="M188" t="str">
        <f>IF(D188="Y","",IF(N188="Y",INDEX(#REF!,MATCH(C188,#REF!,0)),C188))</f>
        <v>5 - Senior Officer</v>
      </c>
      <c r="N188" t="s">
        <v>52</v>
      </c>
      <c r="O188" t="s">
        <v>41</v>
      </c>
      <c r="P188">
        <v>30</v>
      </c>
      <c r="Q188" t="s">
        <v>23</v>
      </c>
      <c r="R188" t="s">
        <v>47</v>
      </c>
      <c r="S188" t="s">
        <v>49</v>
      </c>
      <c r="T188" s="2">
        <v>42826</v>
      </c>
      <c r="U188">
        <v>3</v>
      </c>
      <c r="V188">
        <f t="shared" ca="1" si="2"/>
        <v>0.58963521480910897</v>
      </c>
    </row>
    <row r="189" spans="1:22">
      <c r="A189">
        <v>188</v>
      </c>
      <c r="B189" t="s">
        <v>1</v>
      </c>
      <c r="C189" t="s">
        <v>61</v>
      </c>
      <c r="D189" t="s">
        <v>52</v>
      </c>
      <c r="E189">
        <v>2</v>
      </c>
      <c r="F189" t="s">
        <v>53</v>
      </c>
      <c r="G189" t="s">
        <v>50</v>
      </c>
      <c r="H189" t="s">
        <v>7</v>
      </c>
      <c r="I189" t="s">
        <v>7</v>
      </c>
      <c r="J189" s="1" t="s">
        <v>39</v>
      </c>
      <c r="K189" t="s">
        <v>39</v>
      </c>
      <c r="L189">
        <v>4</v>
      </c>
      <c r="M189" t="str">
        <f>IF(D189="Y","",IF(N189="Y",INDEX(#REF!,MATCH(C189,#REF!,0)),C189))</f>
        <v>5 - Senior Officer</v>
      </c>
      <c r="N189" t="s">
        <v>52</v>
      </c>
      <c r="O189" t="s">
        <v>40</v>
      </c>
      <c r="P189">
        <v>29</v>
      </c>
      <c r="Q189" t="s">
        <v>9</v>
      </c>
      <c r="R189" t="s">
        <v>9</v>
      </c>
      <c r="S189" t="s">
        <v>9</v>
      </c>
      <c r="T189" s="2">
        <v>40634</v>
      </c>
      <c r="U189">
        <v>9</v>
      </c>
      <c r="V189">
        <f t="shared" ca="1" si="2"/>
        <v>0.52083675020773101</v>
      </c>
    </row>
    <row r="190" spans="1:22">
      <c r="A190">
        <v>189</v>
      </c>
      <c r="B190" t="s">
        <v>0</v>
      </c>
      <c r="C190" t="s">
        <v>56</v>
      </c>
      <c r="D190" t="s">
        <v>52</v>
      </c>
      <c r="E190">
        <v>3</v>
      </c>
      <c r="F190" t="s">
        <v>53</v>
      </c>
      <c r="G190" t="s">
        <v>50</v>
      </c>
      <c r="H190" t="s">
        <v>5</v>
      </c>
      <c r="I190" t="s">
        <v>5</v>
      </c>
      <c r="J190" s="1" t="s">
        <v>39</v>
      </c>
      <c r="K190" t="s">
        <v>39</v>
      </c>
      <c r="L190">
        <v>2</v>
      </c>
      <c r="M190" t="str">
        <f>IF(D190="Y","",IF(N190="Y",INDEX(#REF!,MATCH(C190,#REF!,0)),C190))</f>
        <v>6 - Junior Officer</v>
      </c>
      <c r="N190" t="s">
        <v>52</v>
      </c>
      <c r="O190" t="s">
        <v>40</v>
      </c>
      <c r="P190">
        <v>26</v>
      </c>
      <c r="Q190" t="s">
        <v>9</v>
      </c>
      <c r="R190" t="s">
        <v>9</v>
      </c>
      <c r="S190" t="s">
        <v>9</v>
      </c>
      <c r="T190" s="2">
        <v>43191</v>
      </c>
      <c r="U190">
        <v>2</v>
      </c>
      <c r="V190">
        <f t="shared" ca="1" si="2"/>
        <v>0.57359653177448811</v>
      </c>
    </row>
    <row r="191" spans="1:22">
      <c r="A191">
        <v>190</v>
      </c>
      <c r="B191" t="s">
        <v>0</v>
      </c>
      <c r="C191" t="s">
        <v>61</v>
      </c>
      <c r="D191" t="s">
        <v>52</v>
      </c>
      <c r="E191">
        <v>2</v>
      </c>
      <c r="F191" t="s">
        <v>53</v>
      </c>
      <c r="G191" t="s">
        <v>50</v>
      </c>
      <c r="H191" t="s">
        <v>5</v>
      </c>
      <c r="I191" t="s">
        <v>5</v>
      </c>
      <c r="J191" s="1" t="s">
        <v>39</v>
      </c>
      <c r="K191" t="s">
        <v>39</v>
      </c>
      <c r="L191">
        <v>3</v>
      </c>
      <c r="M191" t="str">
        <f>IF(D191="Y","",IF(N191="Y",INDEX(#REF!,MATCH(C191,#REF!,0)),C191))</f>
        <v>5 - Senior Officer</v>
      </c>
      <c r="N191" t="s">
        <v>52</v>
      </c>
      <c r="O191" t="s">
        <v>41</v>
      </c>
      <c r="P191">
        <v>33</v>
      </c>
      <c r="Q191" t="s">
        <v>9</v>
      </c>
      <c r="R191" t="s">
        <v>9</v>
      </c>
      <c r="S191" t="s">
        <v>9</v>
      </c>
      <c r="T191" s="2">
        <v>40634</v>
      </c>
      <c r="U191">
        <v>9</v>
      </c>
      <c r="V191">
        <f t="shared" ca="1" si="2"/>
        <v>0.27759521355473293</v>
      </c>
    </row>
    <row r="192" spans="1:22">
      <c r="A192">
        <v>191</v>
      </c>
      <c r="B192" t="s">
        <v>1</v>
      </c>
      <c r="C192" s="3" t="s">
        <v>61</v>
      </c>
      <c r="D192" t="s">
        <v>52</v>
      </c>
      <c r="E192">
        <v>3</v>
      </c>
      <c r="F192" t="s">
        <v>51</v>
      </c>
      <c r="G192" t="s">
        <v>50</v>
      </c>
      <c r="H192" t="s">
        <v>7</v>
      </c>
      <c r="I192" t="s">
        <v>7</v>
      </c>
      <c r="J192" s="1" t="s">
        <v>39</v>
      </c>
      <c r="K192" t="s">
        <v>39</v>
      </c>
      <c r="L192">
        <v>3</v>
      </c>
      <c r="M192" t="str">
        <f>IF(D192="Y","",IF(N192="Y",INDEX(#REF!,MATCH(C192,#REF!,0)),C192))</f>
        <v>5 - Senior Officer</v>
      </c>
      <c r="N192" t="s">
        <v>52</v>
      </c>
      <c r="O192" t="s">
        <v>44</v>
      </c>
      <c r="P192">
        <v>62</v>
      </c>
      <c r="Q192" t="s">
        <v>9</v>
      </c>
      <c r="R192" t="s">
        <v>9</v>
      </c>
      <c r="S192" t="s">
        <v>9</v>
      </c>
      <c r="T192" s="2">
        <v>40634</v>
      </c>
      <c r="U192">
        <v>9</v>
      </c>
      <c r="V192">
        <f t="shared" ca="1" si="2"/>
        <v>0.76161307707165848</v>
      </c>
    </row>
    <row r="193" spans="1:22">
      <c r="A193">
        <v>192</v>
      </c>
      <c r="B193" t="s">
        <v>1</v>
      </c>
      <c r="C193" t="s">
        <v>59</v>
      </c>
      <c r="D193" t="s">
        <v>50</v>
      </c>
      <c r="F193" t="s">
        <v>53</v>
      </c>
      <c r="G193" t="s">
        <v>52</v>
      </c>
      <c r="H193" t="s">
        <v>5</v>
      </c>
      <c r="I193" t="s">
        <v>5</v>
      </c>
      <c r="J193" s="1" t="s">
        <v>39</v>
      </c>
      <c r="K193" t="s">
        <v>39</v>
      </c>
      <c r="L193">
        <v>0</v>
      </c>
      <c r="M193" t="str">
        <f>IF(D193="Y","",IF(N193="Y",INDEX(#REF!,MATCH(C193,#REF!,0)),C193))</f>
        <v/>
      </c>
      <c r="N193" t="s">
        <v>52</v>
      </c>
      <c r="O193" t="s">
        <v>41</v>
      </c>
      <c r="P193">
        <v>39</v>
      </c>
      <c r="Q193" t="s">
        <v>9</v>
      </c>
      <c r="R193" t="s">
        <v>9</v>
      </c>
      <c r="S193" t="s">
        <v>9</v>
      </c>
      <c r="T193" s="2">
        <v>43922</v>
      </c>
      <c r="U193">
        <v>0</v>
      </c>
      <c r="V193">
        <f t="shared" ca="1" si="2"/>
        <v>0.36174972364834868</v>
      </c>
    </row>
    <row r="194" spans="1:22">
      <c r="A194">
        <v>193</v>
      </c>
      <c r="B194" t="s">
        <v>1</v>
      </c>
      <c r="C194" s="3" t="s">
        <v>57</v>
      </c>
      <c r="D194" t="s">
        <v>52</v>
      </c>
      <c r="E194">
        <v>3</v>
      </c>
      <c r="F194" t="s">
        <v>51</v>
      </c>
      <c r="G194" t="s">
        <v>50</v>
      </c>
      <c r="H194" t="s">
        <v>5</v>
      </c>
      <c r="I194" t="s">
        <v>5</v>
      </c>
      <c r="J194" s="1" t="s">
        <v>39</v>
      </c>
      <c r="K194" t="s">
        <v>39</v>
      </c>
      <c r="L194">
        <v>9</v>
      </c>
      <c r="M194" t="str">
        <f>IF(D194="Y","",IF(N194="Y",INDEX(#REF!,MATCH(C194,#REF!,0)),C194))</f>
        <v>4 - Manager</v>
      </c>
      <c r="N194" t="s">
        <v>52</v>
      </c>
      <c r="O194" t="s">
        <v>40</v>
      </c>
      <c r="P194">
        <v>25</v>
      </c>
      <c r="Q194" t="s">
        <v>20</v>
      </c>
      <c r="R194" t="s">
        <v>45</v>
      </c>
      <c r="S194" t="s">
        <v>45</v>
      </c>
      <c r="T194" s="2">
        <v>40634</v>
      </c>
      <c r="U194">
        <v>9</v>
      </c>
      <c r="V194">
        <f t="shared" ref="V194:V257" ca="1" si="3">RAND()</f>
        <v>8.6138388678224653E-2</v>
      </c>
    </row>
    <row r="195" spans="1:22">
      <c r="A195">
        <v>194</v>
      </c>
      <c r="B195" t="s">
        <v>0</v>
      </c>
      <c r="C195" t="s">
        <v>56</v>
      </c>
      <c r="D195" t="s">
        <v>50</v>
      </c>
      <c r="F195" t="s">
        <v>53</v>
      </c>
      <c r="G195" t="s">
        <v>52</v>
      </c>
      <c r="H195" t="s">
        <v>6</v>
      </c>
      <c r="I195" t="s">
        <v>6</v>
      </c>
      <c r="J195" s="1" t="s">
        <v>39</v>
      </c>
      <c r="K195" t="s">
        <v>39</v>
      </c>
      <c r="L195">
        <v>0</v>
      </c>
      <c r="M195" t="str">
        <f>IF(D195="Y","",IF(N195="Y",INDEX(#REF!,MATCH(C195,#REF!,0)),C195))</f>
        <v/>
      </c>
      <c r="N195" t="s">
        <v>52</v>
      </c>
      <c r="O195" t="s">
        <v>40</v>
      </c>
      <c r="P195">
        <v>22</v>
      </c>
      <c r="Q195" t="s">
        <v>9</v>
      </c>
      <c r="R195" t="s">
        <v>9</v>
      </c>
      <c r="S195" t="s">
        <v>9</v>
      </c>
      <c r="T195" s="2">
        <v>43922</v>
      </c>
      <c r="U195">
        <v>0</v>
      </c>
      <c r="V195">
        <f t="shared" ca="1" si="3"/>
        <v>0.15750512529488014</v>
      </c>
    </row>
    <row r="196" spans="1:22">
      <c r="A196">
        <v>195</v>
      </c>
      <c r="B196" t="s">
        <v>1</v>
      </c>
      <c r="C196" t="s">
        <v>61</v>
      </c>
      <c r="D196" t="s">
        <v>52</v>
      </c>
      <c r="E196">
        <v>3</v>
      </c>
      <c r="F196" t="s">
        <v>53</v>
      </c>
      <c r="G196" t="s">
        <v>50</v>
      </c>
      <c r="H196" t="s">
        <v>5</v>
      </c>
      <c r="I196" t="s">
        <v>5</v>
      </c>
      <c r="J196" s="1" t="s">
        <v>39</v>
      </c>
      <c r="K196" t="s">
        <v>39</v>
      </c>
      <c r="L196">
        <v>2</v>
      </c>
      <c r="M196" t="str">
        <f>IF(D196="Y","",IF(N196="Y",INDEX(#REF!,MATCH(C196,#REF!,0)),C196))</f>
        <v>5 - Senior Officer</v>
      </c>
      <c r="N196" t="s">
        <v>52</v>
      </c>
      <c r="O196" t="s">
        <v>41</v>
      </c>
      <c r="P196">
        <v>30</v>
      </c>
      <c r="Q196" t="s">
        <v>9</v>
      </c>
      <c r="R196" t="s">
        <v>9</v>
      </c>
      <c r="S196" t="s">
        <v>9</v>
      </c>
      <c r="T196" s="2">
        <v>43191</v>
      </c>
      <c r="U196">
        <v>2</v>
      </c>
      <c r="V196">
        <f t="shared" ca="1" si="3"/>
        <v>0.62406891692601274</v>
      </c>
    </row>
    <row r="197" spans="1:22">
      <c r="A197">
        <v>196</v>
      </c>
      <c r="B197" t="s">
        <v>1</v>
      </c>
      <c r="C197" t="s">
        <v>58</v>
      </c>
      <c r="D197" t="s">
        <v>50</v>
      </c>
      <c r="F197" t="s">
        <v>53</v>
      </c>
      <c r="G197" t="s">
        <v>52</v>
      </c>
      <c r="H197" t="s">
        <v>5</v>
      </c>
      <c r="I197" t="s">
        <v>5</v>
      </c>
      <c r="J197" s="1" t="s">
        <v>39</v>
      </c>
      <c r="K197" t="s">
        <v>39</v>
      </c>
      <c r="L197">
        <v>0</v>
      </c>
      <c r="M197" t="str">
        <f>IF(D197="Y","",IF(N197="Y",INDEX(#REF!,MATCH(C197,#REF!,0)),C197))</f>
        <v/>
      </c>
      <c r="N197" t="s">
        <v>52</v>
      </c>
      <c r="O197" t="s">
        <v>42</v>
      </c>
      <c r="P197">
        <v>40</v>
      </c>
      <c r="Q197" t="s">
        <v>9</v>
      </c>
      <c r="R197" t="s">
        <v>9</v>
      </c>
      <c r="S197" t="s">
        <v>9</v>
      </c>
      <c r="T197" s="2">
        <v>43922</v>
      </c>
      <c r="U197">
        <v>0</v>
      </c>
      <c r="V197">
        <f t="shared" ca="1" si="3"/>
        <v>0.31243674733848881</v>
      </c>
    </row>
    <row r="198" spans="1:22">
      <c r="A198">
        <v>197</v>
      </c>
      <c r="B198" t="s">
        <v>1</v>
      </c>
      <c r="C198" t="s">
        <v>56</v>
      </c>
      <c r="D198" t="s">
        <v>52</v>
      </c>
      <c r="E198">
        <v>3</v>
      </c>
      <c r="F198" t="s">
        <v>53</v>
      </c>
      <c r="G198" t="s">
        <v>50</v>
      </c>
      <c r="H198" t="s">
        <v>3</v>
      </c>
      <c r="I198" t="s">
        <v>3</v>
      </c>
      <c r="J198" s="1" t="s">
        <v>39</v>
      </c>
      <c r="K198" t="s">
        <v>39</v>
      </c>
      <c r="L198">
        <v>5</v>
      </c>
      <c r="M198" t="str">
        <f>IF(D198="Y","",IF(N198="Y",INDEX(#REF!,MATCH(C198,#REF!,0)),C198))</f>
        <v>6 - Junior Officer</v>
      </c>
      <c r="N198" t="s">
        <v>52</v>
      </c>
      <c r="O198" t="s">
        <v>40</v>
      </c>
      <c r="P198">
        <v>23</v>
      </c>
      <c r="Q198" t="s">
        <v>20</v>
      </c>
      <c r="R198" t="s">
        <v>45</v>
      </c>
      <c r="S198" t="s">
        <v>45</v>
      </c>
      <c r="T198" s="2">
        <v>42095</v>
      </c>
      <c r="U198">
        <v>5</v>
      </c>
      <c r="V198">
        <f t="shared" ca="1" si="3"/>
        <v>0.52206329336543755</v>
      </c>
    </row>
    <row r="199" spans="1:22">
      <c r="A199">
        <v>198</v>
      </c>
      <c r="B199" t="s">
        <v>0</v>
      </c>
      <c r="C199" s="3" t="s">
        <v>56</v>
      </c>
      <c r="D199" t="s">
        <v>52</v>
      </c>
      <c r="E199">
        <v>2</v>
      </c>
      <c r="F199" t="s">
        <v>51</v>
      </c>
      <c r="G199" t="s">
        <v>50</v>
      </c>
      <c r="H199" t="s">
        <v>7</v>
      </c>
      <c r="I199" t="s">
        <v>7</v>
      </c>
      <c r="J199" s="1" t="s">
        <v>39</v>
      </c>
      <c r="K199" t="s">
        <v>39</v>
      </c>
      <c r="L199">
        <v>1</v>
      </c>
      <c r="M199" t="str">
        <f>IF(D199="Y","",IF(N199="Y",INDEX(#REF!,MATCH(C199,#REF!,0)),C199))</f>
        <v>6 - Junior Officer</v>
      </c>
      <c r="N199" t="s">
        <v>52</v>
      </c>
      <c r="O199" t="s">
        <v>42</v>
      </c>
      <c r="P199">
        <v>41</v>
      </c>
      <c r="Q199" t="s">
        <v>9</v>
      </c>
      <c r="R199" t="s">
        <v>9</v>
      </c>
      <c r="S199" t="s">
        <v>9</v>
      </c>
      <c r="T199" s="2">
        <v>43556</v>
      </c>
      <c r="U199">
        <v>1</v>
      </c>
      <c r="V199">
        <f t="shared" ca="1" si="3"/>
        <v>0.47502877363459051</v>
      </c>
    </row>
    <row r="200" spans="1:22">
      <c r="A200">
        <v>199</v>
      </c>
      <c r="B200" t="s">
        <v>0</v>
      </c>
      <c r="C200" t="s">
        <v>56</v>
      </c>
      <c r="D200" t="s">
        <v>52</v>
      </c>
      <c r="E200">
        <v>3</v>
      </c>
      <c r="F200" t="s">
        <v>53</v>
      </c>
      <c r="G200" t="s">
        <v>50</v>
      </c>
      <c r="H200" t="s">
        <v>6</v>
      </c>
      <c r="I200" t="s">
        <v>6</v>
      </c>
      <c r="J200" s="1" t="s">
        <v>39</v>
      </c>
      <c r="K200" t="s">
        <v>39</v>
      </c>
      <c r="L200">
        <v>2</v>
      </c>
      <c r="M200" t="str">
        <f>IF(D200="Y","",IF(N200="Y",INDEX(#REF!,MATCH(C200,#REF!,0)),C200))</f>
        <v>6 - Junior Officer</v>
      </c>
      <c r="N200" t="s">
        <v>52</v>
      </c>
      <c r="O200" t="s">
        <v>40</v>
      </c>
      <c r="P200">
        <v>24</v>
      </c>
      <c r="Q200" t="s">
        <v>9</v>
      </c>
      <c r="R200" t="s">
        <v>9</v>
      </c>
      <c r="S200" t="s">
        <v>9</v>
      </c>
      <c r="T200" s="2">
        <v>43191</v>
      </c>
      <c r="U200">
        <v>2</v>
      </c>
      <c r="V200">
        <f t="shared" ca="1" si="3"/>
        <v>0.82610631207893381</v>
      </c>
    </row>
    <row r="201" spans="1:22">
      <c r="A201">
        <v>200</v>
      </c>
      <c r="B201" t="s">
        <v>1</v>
      </c>
      <c r="C201" s="3" t="s">
        <v>61</v>
      </c>
      <c r="D201" t="s">
        <v>52</v>
      </c>
      <c r="E201">
        <v>3</v>
      </c>
      <c r="F201" t="s">
        <v>51</v>
      </c>
      <c r="G201" t="s">
        <v>50</v>
      </c>
      <c r="H201" t="s">
        <v>5</v>
      </c>
      <c r="I201" t="s">
        <v>5</v>
      </c>
      <c r="J201" s="1" t="s">
        <v>39</v>
      </c>
      <c r="K201" t="s">
        <v>39</v>
      </c>
      <c r="L201">
        <v>4</v>
      </c>
      <c r="M201" t="str">
        <f>IF(D201="Y","",IF(N201="Y",INDEX(#REF!,MATCH(C201,#REF!,0)),C201))</f>
        <v>5 - Senior Officer</v>
      </c>
      <c r="N201" t="s">
        <v>52</v>
      </c>
      <c r="O201" t="s">
        <v>42</v>
      </c>
      <c r="P201">
        <v>41</v>
      </c>
      <c r="Q201" t="s">
        <v>15</v>
      </c>
      <c r="R201" t="s">
        <v>45</v>
      </c>
      <c r="S201" t="s">
        <v>45</v>
      </c>
      <c r="T201" s="2">
        <v>40634</v>
      </c>
      <c r="U201">
        <v>9</v>
      </c>
      <c r="V201">
        <f t="shared" ca="1" si="3"/>
        <v>0.11636883502868034</v>
      </c>
    </row>
    <row r="202" spans="1:22">
      <c r="A202">
        <v>201</v>
      </c>
      <c r="B202" t="s">
        <v>0</v>
      </c>
      <c r="C202" t="s">
        <v>61</v>
      </c>
      <c r="D202" t="s">
        <v>50</v>
      </c>
      <c r="F202" t="s">
        <v>53</v>
      </c>
      <c r="G202" t="s">
        <v>52</v>
      </c>
      <c r="H202" t="s">
        <v>4</v>
      </c>
      <c r="I202" t="s">
        <v>4</v>
      </c>
      <c r="J202" s="1">
        <v>0.6</v>
      </c>
      <c r="K202" t="s">
        <v>38</v>
      </c>
      <c r="L202">
        <v>0</v>
      </c>
      <c r="M202" t="str">
        <f>IF(D202="Y","",IF(N202="Y",INDEX(#REF!,MATCH(C202,#REF!,0)),C202))</f>
        <v/>
      </c>
      <c r="N202" t="s">
        <v>52</v>
      </c>
      <c r="O202" t="s">
        <v>41</v>
      </c>
      <c r="P202">
        <v>33</v>
      </c>
      <c r="Q202" t="s">
        <v>20</v>
      </c>
      <c r="R202" t="s">
        <v>45</v>
      </c>
      <c r="S202" t="s">
        <v>45</v>
      </c>
      <c r="T202" s="2">
        <v>43922</v>
      </c>
      <c r="U202">
        <v>0</v>
      </c>
      <c r="V202">
        <f t="shared" ca="1" si="3"/>
        <v>0.33624108714838741</v>
      </c>
    </row>
    <row r="203" spans="1:22">
      <c r="A203">
        <v>202</v>
      </c>
      <c r="B203" t="s">
        <v>1</v>
      </c>
      <c r="C203" t="s">
        <v>57</v>
      </c>
      <c r="D203" t="s">
        <v>52</v>
      </c>
      <c r="E203">
        <v>3</v>
      </c>
      <c r="F203" t="s">
        <v>53</v>
      </c>
      <c r="G203" t="s">
        <v>50</v>
      </c>
      <c r="H203" t="s">
        <v>6</v>
      </c>
      <c r="I203" t="s">
        <v>6</v>
      </c>
      <c r="J203" s="1" t="s">
        <v>39</v>
      </c>
      <c r="K203" t="s">
        <v>39</v>
      </c>
      <c r="L203">
        <v>3</v>
      </c>
      <c r="M203" t="str">
        <f>IF(D203="Y","",IF(N203="Y",INDEX(#REF!,MATCH(C203,#REF!,0)),C203))</f>
        <v>4 - Manager</v>
      </c>
      <c r="N203" t="s">
        <v>52</v>
      </c>
      <c r="O203" t="s">
        <v>41</v>
      </c>
      <c r="P203">
        <v>34</v>
      </c>
      <c r="Q203" t="s">
        <v>27</v>
      </c>
      <c r="R203" t="s">
        <v>46</v>
      </c>
      <c r="S203" t="s">
        <v>49</v>
      </c>
      <c r="T203" s="2">
        <v>41000</v>
      </c>
      <c r="U203">
        <v>8</v>
      </c>
      <c r="V203">
        <f t="shared" ca="1" si="3"/>
        <v>4.9118493081363623E-2</v>
      </c>
    </row>
    <row r="204" spans="1:22">
      <c r="A204">
        <v>203</v>
      </c>
      <c r="B204" t="s">
        <v>1</v>
      </c>
      <c r="C204" t="s">
        <v>56</v>
      </c>
      <c r="D204" t="s">
        <v>52</v>
      </c>
      <c r="E204">
        <v>3</v>
      </c>
      <c r="F204" t="s">
        <v>53</v>
      </c>
      <c r="G204" t="s">
        <v>50</v>
      </c>
      <c r="H204" t="s">
        <v>5</v>
      </c>
      <c r="I204" t="s">
        <v>5</v>
      </c>
      <c r="J204" s="1" t="s">
        <v>39</v>
      </c>
      <c r="K204" t="s">
        <v>39</v>
      </c>
      <c r="L204">
        <v>1</v>
      </c>
      <c r="M204" t="str">
        <f>IF(D204="Y","",IF(N204="Y",INDEX(#REF!,MATCH(C204,#REF!,0)),C204))</f>
        <v>6 - Junior Officer</v>
      </c>
      <c r="N204" t="s">
        <v>52</v>
      </c>
      <c r="O204" t="s">
        <v>40</v>
      </c>
      <c r="P204">
        <v>26</v>
      </c>
      <c r="Q204" t="s">
        <v>19</v>
      </c>
      <c r="R204" t="s">
        <v>45</v>
      </c>
      <c r="S204" t="s">
        <v>45</v>
      </c>
      <c r="T204" s="2">
        <v>43556</v>
      </c>
      <c r="U204">
        <v>1</v>
      </c>
      <c r="V204">
        <f t="shared" ca="1" si="3"/>
        <v>0.94564465039832168</v>
      </c>
    </row>
    <row r="205" spans="1:22">
      <c r="A205">
        <v>204</v>
      </c>
      <c r="B205" t="s">
        <v>1</v>
      </c>
      <c r="C205" t="s">
        <v>56</v>
      </c>
      <c r="D205" t="s">
        <v>50</v>
      </c>
      <c r="F205" t="s">
        <v>53</v>
      </c>
      <c r="G205" t="s">
        <v>52</v>
      </c>
      <c r="H205" t="s">
        <v>7</v>
      </c>
      <c r="I205" t="s">
        <v>7</v>
      </c>
      <c r="J205" s="1" t="s">
        <v>39</v>
      </c>
      <c r="K205" t="s">
        <v>39</v>
      </c>
      <c r="L205">
        <v>0</v>
      </c>
      <c r="M205" t="str">
        <f>IF(D205="Y","",IF(N205="Y",INDEX(#REF!,MATCH(C205,#REF!,0)),C205))</f>
        <v/>
      </c>
      <c r="N205" t="s">
        <v>52</v>
      </c>
      <c r="O205" t="s">
        <v>40</v>
      </c>
      <c r="P205">
        <v>22</v>
      </c>
      <c r="Q205" t="s">
        <v>9</v>
      </c>
      <c r="R205" t="s">
        <v>9</v>
      </c>
      <c r="S205" t="s">
        <v>9</v>
      </c>
      <c r="T205" s="2">
        <v>43922</v>
      </c>
      <c r="U205">
        <v>0</v>
      </c>
      <c r="V205">
        <f t="shared" ca="1" si="3"/>
        <v>0.95697108009126808</v>
      </c>
    </row>
    <row r="206" spans="1:22">
      <c r="A206">
        <v>205</v>
      </c>
      <c r="B206" t="s">
        <v>1</v>
      </c>
      <c r="C206" t="s">
        <v>58</v>
      </c>
      <c r="D206" t="s">
        <v>52</v>
      </c>
      <c r="E206">
        <v>2</v>
      </c>
      <c r="F206" t="s">
        <v>53</v>
      </c>
      <c r="G206" t="s">
        <v>50</v>
      </c>
      <c r="H206" t="s">
        <v>7</v>
      </c>
      <c r="I206" t="s">
        <v>7</v>
      </c>
      <c r="J206" s="1" t="s">
        <v>39</v>
      </c>
      <c r="K206" t="s">
        <v>39</v>
      </c>
      <c r="L206">
        <v>3</v>
      </c>
      <c r="M206" t="str">
        <f>IF(D206="Y","",IF(N206="Y",INDEX(#REF!,MATCH(C206,#REF!,0)),C206))</f>
        <v>3 - Senior Manager</v>
      </c>
      <c r="N206" t="s">
        <v>52</v>
      </c>
      <c r="O206" t="s">
        <v>42</v>
      </c>
      <c r="P206">
        <v>40</v>
      </c>
      <c r="Q206" t="s">
        <v>9</v>
      </c>
      <c r="R206" t="s">
        <v>9</v>
      </c>
      <c r="S206" t="s">
        <v>9</v>
      </c>
      <c r="T206" s="2">
        <v>41730</v>
      </c>
      <c r="U206">
        <v>6</v>
      </c>
      <c r="V206">
        <f t="shared" ca="1" si="3"/>
        <v>0.91120196079490456</v>
      </c>
    </row>
    <row r="207" spans="1:22">
      <c r="A207">
        <v>206</v>
      </c>
      <c r="B207" t="s">
        <v>1</v>
      </c>
      <c r="C207" t="s">
        <v>57</v>
      </c>
      <c r="D207" t="s">
        <v>52</v>
      </c>
      <c r="E207">
        <v>2</v>
      </c>
      <c r="F207" t="s">
        <v>53</v>
      </c>
      <c r="G207" t="s">
        <v>50</v>
      </c>
      <c r="H207" t="s">
        <v>3</v>
      </c>
      <c r="I207" t="s">
        <v>3</v>
      </c>
      <c r="J207" s="1" t="s">
        <v>39</v>
      </c>
      <c r="K207" t="s">
        <v>39</v>
      </c>
      <c r="L207">
        <v>1</v>
      </c>
      <c r="M207" t="e">
        <f>IF(D207="Y","",IF(N207="Y",INDEX(#REF!,MATCH(C207,#REF!,0)),C207))</f>
        <v>#REF!</v>
      </c>
      <c r="N207" t="s">
        <v>50</v>
      </c>
      <c r="O207" t="s">
        <v>41</v>
      </c>
      <c r="P207">
        <v>36</v>
      </c>
      <c r="Q207" t="s">
        <v>25</v>
      </c>
      <c r="R207" t="s">
        <v>45</v>
      </c>
      <c r="S207" t="s">
        <v>45</v>
      </c>
      <c r="T207" s="2">
        <v>42095</v>
      </c>
      <c r="U207">
        <v>5</v>
      </c>
      <c r="V207">
        <f t="shared" ca="1" si="3"/>
        <v>2.6484728867914975E-2</v>
      </c>
    </row>
    <row r="208" spans="1:22">
      <c r="A208">
        <v>207</v>
      </c>
      <c r="B208" t="s">
        <v>1</v>
      </c>
      <c r="C208" t="s">
        <v>59</v>
      </c>
      <c r="D208" t="s">
        <v>50</v>
      </c>
      <c r="F208" t="s">
        <v>53</v>
      </c>
      <c r="G208" t="s">
        <v>52</v>
      </c>
      <c r="H208" t="s">
        <v>6</v>
      </c>
      <c r="I208" t="s">
        <v>6</v>
      </c>
      <c r="J208" s="1" t="s">
        <v>39</v>
      </c>
      <c r="K208" t="s">
        <v>39</v>
      </c>
      <c r="L208">
        <v>0</v>
      </c>
      <c r="M208" t="str">
        <f>IF(D208="Y","",IF(N208="Y",INDEX(#REF!,MATCH(C208,#REF!,0)),C208))</f>
        <v/>
      </c>
      <c r="N208" t="s">
        <v>52</v>
      </c>
      <c r="O208" t="s">
        <v>41</v>
      </c>
      <c r="P208">
        <v>38</v>
      </c>
      <c r="Q208" t="s">
        <v>9</v>
      </c>
      <c r="R208" t="s">
        <v>9</v>
      </c>
      <c r="S208" t="s">
        <v>9</v>
      </c>
      <c r="T208" s="2">
        <v>43922</v>
      </c>
      <c r="U208">
        <v>0</v>
      </c>
      <c r="V208">
        <f t="shared" ca="1" si="3"/>
        <v>0.19846879436667331</v>
      </c>
    </row>
    <row r="209" spans="1:22">
      <c r="A209">
        <v>208</v>
      </c>
      <c r="B209" t="s">
        <v>0</v>
      </c>
      <c r="C209" t="s">
        <v>56</v>
      </c>
      <c r="D209" t="s">
        <v>52</v>
      </c>
      <c r="E209">
        <v>1</v>
      </c>
      <c r="F209" t="s">
        <v>53</v>
      </c>
      <c r="G209" t="s">
        <v>50</v>
      </c>
      <c r="H209" t="s">
        <v>6</v>
      </c>
      <c r="I209" t="s">
        <v>6</v>
      </c>
      <c r="J209" s="1" t="s">
        <v>39</v>
      </c>
      <c r="K209" t="s">
        <v>39</v>
      </c>
      <c r="L209">
        <v>2</v>
      </c>
      <c r="M209" t="str">
        <f>IF(D209="Y","",IF(N209="Y",INDEX(#REF!,MATCH(C209,#REF!,0)),C209))</f>
        <v>6 - Junior Officer</v>
      </c>
      <c r="N209" t="s">
        <v>52</v>
      </c>
      <c r="O209" t="s">
        <v>40</v>
      </c>
      <c r="P209">
        <v>25</v>
      </c>
      <c r="Q209" t="s">
        <v>9</v>
      </c>
      <c r="R209" t="s">
        <v>9</v>
      </c>
      <c r="S209" t="s">
        <v>9</v>
      </c>
      <c r="T209" s="2">
        <v>43191</v>
      </c>
      <c r="U209">
        <v>2</v>
      </c>
      <c r="V209">
        <f t="shared" ca="1" si="3"/>
        <v>0.63364660583621935</v>
      </c>
    </row>
    <row r="210" spans="1:22">
      <c r="A210">
        <v>209</v>
      </c>
      <c r="B210" t="s">
        <v>0</v>
      </c>
      <c r="C210" t="s">
        <v>56</v>
      </c>
      <c r="D210" t="s">
        <v>52</v>
      </c>
      <c r="E210">
        <v>3</v>
      </c>
      <c r="F210" t="s">
        <v>53</v>
      </c>
      <c r="G210" t="s">
        <v>50</v>
      </c>
      <c r="H210" t="s">
        <v>5</v>
      </c>
      <c r="I210" t="s">
        <v>5</v>
      </c>
      <c r="J210" s="1" t="s">
        <v>39</v>
      </c>
      <c r="K210" t="s">
        <v>39</v>
      </c>
      <c r="L210">
        <v>3</v>
      </c>
      <c r="M210" t="str">
        <f>IF(D210="Y","",IF(N210="Y",INDEX(#REF!,MATCH(C210,#REF!,0)),C210))</f>
        <v>6 - Junior Officer</v>
      </c>
      <c r="N210" t="s">
        <v>52</v>
      </c>
      <c r="O210" t="s">
        <v>40</v>
      </c>
      <c r="P210">
        <v>28</v>
      </c>
      <c r="Q210" t="s">
        <v>19</v>
      </c>
      <c r="R210" t="s">
        <v>45</v>
      </c>
      <c r="S210" t="s">
        <v>45</v>
      </c>
      <c r="T210" s="2">
        <v>42826</v>
      </c>
      <c r="U210">
        <v>3</v>
      </c>
      <c r="V210">
        <f t="shared" ca="1" si="3"/>
        <v>0.38030418348737216</v>
      </c>
    </row>
    <row r="211" spans="1:22">
      <c r="A211">
        <v>210</v>
      </c>
      <c r="B211" t="s">
        <v>0</v>
      </c>
      <c r="C211" t="s">
        <v>57</v>
      </c>
      <c r="D211" t="s">
        <v>52</v>
      </c>
      <c r="F211" t="s">
        <v>51</v>
      </c>
      <c r="G211" t="s">
        <v>50</v>
      </c>
      <c r="H211" t="s">
        <v>7</v>
      </c>
      <c r="I211" t="s">
        <v>7</v>
      </c>
      <c r="J211" s="1" t="s">
        <v>39</v>
      </c>
      <c r="K211" t="s">
        <v>39</v>
      </c>
      <c r="L211">
        <v>3</v>
      </c>
      <c r="M211" t="str">
        <f>IF(D211="Y","",IF(N211="Y",INDEX(#REF!,MATCH(C211,#REF!,0)),C211))</f>
        <v>4 - Manager</v>
      </c>
      <c r="N211" t="s">
        <v>52</v>
      </c>
      <c r="O211" t="s">
        <v>43</v>
      </c>
      <c r="P211">
        <v>51</v>
      </c>
      <c r="Q211" t="s">
        <v>9</v>
      </c>
      <c r="R211" t="s">
        <v>9</v>
      </c>
      <c r="S211" t="s">
        <v>9</v>
      </c>
      <c r="T211" s="2">
        <v>40634</v>
      </c>
      <c r="U211">
        <v>9</v>
      </c>
      <c r="V211">
        <f t="shared" ca="1" si="3"/>
        <v>0.69266614479835242</v>
      </c>
    </row>
    <row r="212" spans="1:22">
      <c r="A212">
        <v>211</v>
      </c>
      <c r="B212" t="s">
        <v>1</v>
      </c>
      <c r="C212" t="s">
        <v>56</v>
      </c>
      <c r="D212" t="s">
        <v>52</v>
      </c>
      <c r="E212">
        <v>3</v>
      </c>
      <c r="F212" t="s">
        <v>53</v>
      </c>
      <c r="G212" t="s">
        <v>50</v>
      </c>
      <c r="H212" t="s">
        <v>5</v>
      </c>
      <c r="I212" t="s">
        <v>5</v>
      </c>
      <c r="J212" s="1" t="s">
        <v>39</v>
      </c>
      <c r="K212" t="s">
        <v>39</v>
      </c>
      <c r="L212">
        <v>3</v>
      </c>
      <c r="M212" t="str">
        <f>IF(D212="Y","",IF(N212="Y",INDEX(#REF!,MATCH(C212,#REF!,0)),C212))</f>
        <v>6 - Junior Officer</v>
      </c>
      <c r="N212" t="s">
        <v>52</v>
      </c>
      <c r="O212" t="s">
        <v>40</v>
      </c>
      <c r="P212">
        <v>21</v>
      </c>
      <c r="Q212" t="s">
        <v>9</v>
      </c>
      <c r="R212" t="s">
        <v>9</v>
      </c>
      <c r="S212" t="s">
        <v>9</v>
      </c>
      <c r="T212" s="2">
        <v>42826</v>
      </c>
      <c r="U212">
        <v>3</v>
      </c>
      <c r="V212">
        <f t="shared" ca="1" si="3"/>
        <v>0.66003970137724177</v>
      </c>
    </row>
    <row r="213" spans="1:22">
      <c r="A213">
        <v>212</v>
      </c>
      <c r="B213" t="s">
        <v>1</v>
      </c>
      <c r="C213" t="s">
        <v>61</v>
      </c>
      <c r="D213" t="s">
        <v>50</v>
      </c>
      <c r="F213" t="s">
        <v>53</v>
      </c>
      <c r="G213" t="s">
        <v>52</v>
      </c>
      <c r="H213" t="s">
        <v>7</v>
      </c>
      <c r="I213" t="s">
        <v>7</v>
      </c>
      <c r="J213" s="1" t="s">
        <v>39</v>
      </c>
      <c r="K213" t="s">
        <v>39</v>
      </c>
      <c r="L213">
        <v>0</v>
      </c>
      <c r="M213" t="str">
        <f>IF(D213="Y","",IF(N213="Y",INDEX(#REF!,MATCH(C213,#REF!,0)),C213))</f>
        <v/>
      </c>
      <c r="N213" t="s">
        <v>52</v>
      </c>
      <c r="O213" t="s">
        <v>40</v>
      </c>
      <c r="P213">
        <v>27</v>
      </c>
      <c r="Q213" t="s">
        <v>9</v>
      </c>
      <c r="R213" t="s">
        <v>9</v>
      </c>
      <c r="S213" t="s">
        <v>9</v>
      </c>
      <c r="T213" s="2">
        <v>43922</v>
      </c>
      <c r="U213">
        <v>0</v>
      </c>
      <c r="V213">
        <f t="shared" ca="1" si="3"/>
        <v>0.46580799249751037</v>
      </c>
    </row>
    <row r="214" spans="1:22">
      <c r="A214">
        <v>213</v>
      </c>
      <c r="B214" t="s">
        <v>0</v>
      </c>
      <c r="C214" t="s">
        <v>59</v>
      </c>
      <c r="D214" t="s">
        <v>52</v>
      </c>
      <c r="E214">
        <v>4</v>
      </c>
      <c r="F214" t="s">
        <v>53</v>
      </c>
      <c r="G214" t="s">
        <v>50</v>
      </c>
      <c r="H214" t="s">
        <v>4</v>
      </c>
      <c r="I214" t="s">
        <v>4</v>
      </c>
      <c r="J214" s="1" t="s">
        <v>39</v>
      </c>
      <c r="K214" t="s">
        <v>39</v>
      </c>
      <c r="L214">
        <v>3</v>
      </c>
      <c r="M214" t="str">
        <f>IF(D214="Y","",IF(N214="Y",INDEX(#REF!,MATCH(C214,#REF!,0)),C214))</f>
        <v>2 - Director</v>
      </c>
      <c r="N214" t="s">
        <v>52</v>
      </c>
      <c r="O214" t="s">
        <v>42</v>
      </c>
      <c r="P214">
        <v>44</v>
      </c>
      <c r="Q214" t="s">
        <v>9</v>
      </c>
      <c r="R214" t="s">
        <v>9</v>
      </c>
      <c r="S214" t="s">
        <v>9</v>
      </c>
      <c r="T214" s="2">
        <v>42826</v>
      </c>
      <c r="U214">
        <v>3</v>
      </c>
      <c r="V214">
        <f t="shared" ca="1" si="3"/>
        <v>0.84004680341590543</v>
      </c>
    </row>
    <row r="215" spans="1:22">
      <c r="A215">
        <v>214</v>
      </c>
      <c r="B215" t="s">
        <v>0</v>
      </c>
      <c r="C215" t="s">
        <v>56</v>
      </c>
      <c r="D215" t="s">
        <v>50</v>
      </c>
      <c r="F215" t="s">
        <v>53</v>
      </c>
      <c r="G215" t="s">
        <v>52</v>
      </c>
      <c r="H215" t="s">
        <v>7</v>
      </c>
      <c r="I215" t="s">
        <v>7</v>
      </c>
      <c r="J215" s="1" t="s">
        <v>39</v>
      </c>
      <c r="K215" t="s">
        <v>39</v>
      </c>
      <c r="L215">
        <v>0</v>
      </c>
      <c r="M215" t="str">
        <f>IF(D215="Y","",IF(N215="Y",INDEX(#REF!,MATCH(C215,#REF!,0)),C215))</f>
        <v/>
      </c>
      <c r="N215" t="s">
        <v>52</v>
      </c>
      <c r="O215" t="s">
        <v>40</v>
      </c>
      <c r="P215">
        <v>28</v>
      </c>
      <c r="Q215" t="s">
        <v>20</v>
      </c>
      <c r="R215" t="s">
        <v>45</v>
      </c>
      <c r="S215" t="s">
        <v>45</v>
      </c>
      <c r="T215" s="2">
        <v>43922</v>
      </c>
      <c r="U215">
        <v>0</v>
      </c>
      <c r="V215">
        <f t="shared" ca="1" si="3"/>
        <v>0.16689673154506612</v>
      </c>
    </row>
    <row r="216" spans="1:22">
      <c r="A216">
        <v>215</v>
      </c>
      <c r="B216" t="s">
        <v>1</v>
      </c>
      <c r="C216" t="s">
        <v>57</v>
      </c>
      <c r="D216" t="s">
        <v>52</v>
      </c>
      <c r="E216">
        <v>1</v>
      </c>
      <c r="F216" t="s">
        <v>53</v>
      </c>
      <c r="G216" t="s">
        <v>50</v>
      </c>
      <c r="H216" t="s">
        <v>5</v>
      </c>
      <c r="I216" t="s">
        <v>5</v>
      </c>
      <c r="J216" s="1" t="s">
        <v>39</v>
      </c>
      <c r="K216" t="s">
        <v>39</v>
      </c>
      <c r="L216">
        <v>3</v>
      </c>
      <c r="M216" t="str">
        <f>IF(D216="Y","",IF(N216="Y",INDEX(#REF!,MATCH(C216,#REF!,0)),C216))</f>
        <v>4 - Manager</v>
      </c>
      <c r="N216" t="s">
        <v>52</v>
      </c>
      <c r="O216" t="s">
        <v>41</v>
      </c>
      <c r="P216">
        <v>37</v>
      </c>
      <c r="Q216" t="s">
        <v>9</v>
      </c>
      <c r="R216" t="s">
        <v>9</v>
      </c>
      <c r="S216" t="s">
        <v>9</v>
      </c>
      <c r="T216" s="2">
        <v>40634</v>
      </c>
      <c r="U216">
        <v>9</v>
      </c>
      <c r="V216">
        <f t="shared" ca="1" si="3"/>
        <v>0.59220620678532898</v>
      </c>
    </row>
    <row r="217" spans="1:22">
      <c r="A217">
        <v>216</v>
      </c>
      <c r="B217" t="s">
        <v>0</v>
      </c>
      <c r="C217" t="s">
        <v>61</v>
      </c>
      <c r="D217" t="s">
        <v>52</v>
      </c>
      <c r="F217" t="s">
        <v>51</v>
      </c>
      <c r="G217" t="s">
        <v>50</v>
      </c>
      <c r="H217" t="s">
        <v>5</v>
      </c>
      <c r="I217" t="s">
        <v>5</v>
      </c>
      <c r="J217" s="1" t="s">
        <v>39</v>
      </c>
      <c r="K217" t="s">
        <v>39</v>
      </c>
      <c r="L217">
        <v>3</v>
      </c>
      <c r="M217" t="str">
        <f>IF(D217="Y","",IF(N217="Y",INDEX(#REF!,MATCH(C217,#REF!,0)),C217))</f>
        <v>5 - Senior Officer</v>
      </c>
      <c r="N217" t="s">
        <v>52</v>
      </c>
      <c r="O217" t="s">
        <v>42</v>
      </c>
      <c r="P217">
        <v>44</v>
      </c>
      <c r="Q217" t="s">
        <v>20</v>
      </c>
      <c r="R217" t="s">
        <v>45</v>
      </c>
      <c r="S217" t="s">
        <v>45</v>
      </c>
      <c r="T217" s="2">
        <v>40634</v>
      </c>
      <c r="U217">
        <v>9</v>
      </c>
      <c r="V217">
        <f t="shared" ca="1" si="3"/>
        <v>0.10091664437440429</v>
      </c>
    </row>
    <row r="218" spans="1:22">
      <c r="A218">
        <v>217</v>
      </c>
      <c r="B218" t="s">
        <v>0</v>
      </c>
      <c r="C218" t="s">
        <v>56</v>
      </c>
      <c r="D218" t="s">
        <v>52</v>
      </c>
      <c r="E218">
        <v>2</v>
      </c>
      <c r="F218" t="s">
        <v>53</v>
      </c>
      <c r="G218" t="s">
        <v>50</v>
      </c>
      <c r="H218" t="s">
        <v>7</v>
      </c>
      <c r="I218" t="s">
        <v>7</v>
      </c>
      <c r="J218" s="1" t="s">
        <v>39</v>
      </c>
      <c r="K218" t="s">
        <v>39</v>
      </c>
      <c r="L218">
        <v>1</v>
      </c>
      <c r="M218" t="str">
        <f>IF(D218="Y","",IF(N218="Y",INDEX(#REF!,MATCH(C218,#REF!,0)),C218))</f>
        <v>6 - Junior Officer</v>
      </c>
      <c r="N218" t="s">
        <v>52</v>
      </c>
      <c r="O218" t="s">
        <v>40</v>
      </c>
      <c r="P218">
        <v>22</v>
      </c>
      <c r="Q218" t="s">
        <v>9</v>
      </c>
      <c r="R218" t="s">
        <v>9</v>
      </c>
      <c r="S218" t="s">
        <v>9</v>
      </c>
      <c r="T218" s="2">
        <v>43556</v>
      </c>
      <c r="U218">
        <v>1</v>
      </c>
      <c r="V218">
        <f t="shared" ca="1" si="3"/>
        <v>0.16240853957678592</v>
      </c>
    </row>
    <row r="219" spans="1:22">
      <c r="A219">
        <v>218</v>
      </c>
      <c r="B219" t="s">
        <v>1</v>
      </c>
      <c r="C219" t="s">
        <v>61</v>
      </c>
      <c r="D219" t="s">
        <v>52</v>
      </c>
      <c r="E219">
        <v>2</v>
      </c>
      <c r="F219" t="s">
        <v>53</v>
      </c>
      <c r="G219" t="s">
        <v>50</v>
      </c>
      <c r="H219" t="s">
        <v>7</v>
      </c>
      <c r="I219" t="s">
        <v>7</v>
      </c>
      <c r="J219" s="1" t="s">
        <v>39</v>
      </c>
      <c r="K219" t="s">
        <v>39</v>
      </c>
      <c r="L219">
        <v>3</v>
      </c>
      <c r="M219" t="str">
        <f>IF(D219="Y","",IF(N219="Y",INDEX(#REF!,MATCH(C219,#REF!,0)),C219))</f>
        <v>5 - Senior Officer</v>
      </c>
      <c r="N219" t="s">
        <v>52</v>
      </c>
      <c r="O219" t="s">
        <v>40</v>
      </c>
      <c r="P219">
        <v>29</v>
      </c>
      <c r="Q219" t="s">
        <v>9</v>
      </c>
      <c r="R219" t="s">
        <v>9</v>
      </c>
      <c r="S219" t="s">
        <v>9</v>
      </c>
      <c r="T219" s="2">
        <v>41365</v>
      </c>
      <c r="U219">
        <v>7</v>
      </c>
      <c r="V219">
        <f t="shared" ca="1" si="3"/>
        <v>0.85305688272987212</v>
      </c>
    </row>
    <row r="220" spans="1:22">
      <c r="A220">
        <v>219</v>
      </c>
      <c r="B220" t="s">
        <v>0</v>
      </c>
      <c r="C220" t="s">
        <v>58</v>
      </c>
      <c r="D220" t="s">
        <v>50</v>
      </c>
      <c r="F220" t="s">
        <v>53</v>
      </c>
      <c r="G220" t="s">
        <v>52</v>
      </c>
      <c r="H220" t="s">
        <v>5</v>
      </c>
      <c r="I220" t="s">
        <v>5</v>
      </c>
      <c r="J220" s="1" t="s">
        <v>39</v>
      </c>
      <c r="K220" t="s">
        <v>39</v>
      </c>
      <c r="L220">
        <v>0</v>
      </c>
      <c r="M220" t="str">
        <f>IF(D220="Y","",IF(N220="Y",INDEX(#REF!,MATCH(C220,#REF!,0)),C220))</f>
        <v/>
      </c>
      <c r="N220" t="s">
        <v>52</v>
      </c>
      <c r="O220" t="s">
        <v>41</v>
      </c>
      <c r="P220">
        <v>36</v>
      </c>
      <c r="Q220" t="s">
        <v>9</v>
      </c>
      <c r="R220" t="s">
        <v>9</v>
      </c>
      <c r="S220" t="s">
        <v>9</v>
      </c>
      <c r="T220" s="2">
        <v>43922</v>
      </c>
      <c r="U220">
        <v>0</v>
      </c>
      <c r="V220">
        <f t="shared" ca="1" si="3"/>
        <v>0.89797990110569614</v>
      </c>
    </row>
    <row r="221" spans="1:22">
      <c r="A221">
        <v>220</v>
      </c>
      <c r="B221" t="s">
        <v>1</v>
      </c>
      <c r="C221" t="s">
        <v>61</v>
      </c>
      <c r="D221" t="s">
        <v>52</v>
      </c>
      <c r="E221">
        <v>3</v>
      </c>
      <c r="F221" t="s">
        <v>53</v>
      </c>
      <c r="G221" t="s">
        <v>50</v>
      </c>
      <c r="H221" t="s">
        <v>7</v>
      </c>
      <c r="I221" t="s">
        <v>7</v>
      </c>
      <c r="J221" s="1" t="s">
        <v>39</v>
      </c>
      <c r="K221" t="s">
        <v>39</v>
      </c>
      <c r="L221">
        <v>4</v>
      </c>
      <c r="M221" t="str">
        <f>IF(D221="Y","",IF(N221="Y",INDEX(#REF!,MATCH(C221,#REF!,0)),C221))</f>
        <v>5 - Senior Officer</v>
      </c>
      <c r="N221" t="s">
        <v>52</v>
      </c>
      <c r="O221" t="s">
        <v>40</v>
      </c>
      <c r="P221">
        <v>29</v>
      </c>
      <c r="Q221" t="s">
        <v>19</v>
      </c>
      <c r="R221" t="s">
        <v>45</v>
      </c>
      <c r="S221" t="s">
        <v>45</v>
      </c>
      <c r="T221" s="2">
        <v>40634</v>
      </c>
      <c r="U221">
        <v>9</v>
      </c>
      <c r="V221">
        <f t="shared" ca="1" si="3"/>
        <v>0.25030768263036474</v>
      </c>
    </row>
    <row r="222" spans="1:22">
      <c r="A222">
        <v>221</v>
      </c>
      <c r="B222" t="s">
        <v>0</v>
      </c>
      <c r="C222" t="s">
        <v>61</v>
      </c>
      <c r="D222" t="s">
        <v>50</v>
      </c>
      <c r="F222" t="s">
        <v>53</v>
      </c>
      <c r="G222" t="s">
        <v>52</v>
      </c>
      <c r="H222" t="s">
        <v>8</v>
      </c>
      <c r="I222" t="s">
        <v>8</v>
      </c>
      <c r="J222" s="1" t="s">
        <v>39</v>
      </c>
      <c r="K222" t="s">
        <v>39</v>
      </c>
      <c r="L222">
        <v>0</v>
      </c>
      <c r="M222" t="str">
        <f>IF(D222="Y","",IF(N222="Y",INDEX(#REF!,MATCH(C222,#REF!,0)),C222))</f>
        <v/>
      </c>
      <c r="N222" t="s">
        <v>52</v>
      </c>
      <c r="O222" t="s">
        <v>40</v>
      </c>
      <c r="P222">
        <v>28</v>
      </c>
      <c r="Q222" t="s">
        <v>9</v>
      </c>
      <c r="R222" t="s">
        <v>9</v>
      </c>
      <c r="S222" t="s">
        <v>9</v>
      </c>
      <c r="T222" s="2">
        <v>43922</v>
      </c>
      <c r="U222">
        <v>0</v>
      </c>
      <c r="V222">
        <f t="shared" ca="1" si="3"/>
        <v>0.91120552137193478</v>
      </c>
    </row>
    <row r="223" spans="1:22">
      <c r="A223">
        <v>222</v>
      </c>
      <c r="B223" t="s">
        <v>1</v>
      </c>
      <c r="C223" t="s">
        <v>59</v>
      </c>
      <c r="D223" t="s">
        <v>52</v>
      </c>
      <c r="E223">
        <v>3</v>
      </c>
      <c r="F223" t="s">
        <v>53</v>
      </c>
      <c r="G223" t="s">
        <v>50</v>
      </c>
      <c r="H223" t="s">
        <v>7</v>
      </c>
      <c r="I223" t="s">
        <v>7</v>
      </c>
      <c r="J223" s="1" t="s">
        <v>39</v>
      </c>
      <c r="K223" t="s">
        <v>39</v>
      </c>
      <c r="L223">
        <v>6</v>
      </c>
      <c r="M223" t="str">
        <f>IF(D223="Y","",IF(N223="Y",INDEX(#REF!,MATCH(C223,#REF!,0)),C223))</f>
        <v>2 - Director</v>
      </c>
      <c r="N223" t="s">
        <v>52</v>
      </c>
      <c r="O223" t="s">
        <v>41</v>
      </c>
      <c r="P223">
        <v>39</v>
      </c>
      <c r="Q223" t="s">
        <v>9</v>
      </c>
      <c r="R223" t="s">
        <v>9</v>
      </c>
      <c r="S223" t="s">
        <v>9</v>
      </c>
      <c r="T223" s="2">
        <v>41000</v>
      </c>
      <c r="U223">
        <v>8</v>
      </c>
      <c r="V223">
        <f t="shared" ca="1" si="3"/>
        <v>0.23002598482961001</v>
      </c>
    </row>
    <row r="224" spans="1:22">
      <c r="A224">
        <v>223</v>
      </c>
      <c r="B224" t="s">
        <v>0</v>
      </c>
      <c r="C224" t="s">
        <v>61</v>
      </c>
      <c r="D224" t="s">
        <v>52</v>
      </c>
      <c r="F224" t="s">
        <v>51</v>
      </c>
      <c r="G224" t="s">
        <v>50</v>
      </c>
      <c r="H224" t="s">
        <v>7</v>
      </c>
      <c r="I224" t="s">
        <v>7</v>
      </c>
      <c r="J224" s="1" t="s">
        <v>39</v>
      </c>
      <c r="K224" t="s">
        <v>39</v>
      </c>
      <c r="L224">
        <v>5</v>
      </c>
      <c r="M224" t="str">
        <f>IF(D224="Y","",IF(N224="Y",INDEX(#REF!,MATCH(C224,#REF!,0)),C224))</f>
        <v>5 - Senior Officer</v>
      </c>
      <c r="N224" t="s">
        <v>52</v>
      </c>
      <c r="O224" t="s">
        <v>40</v>
      </c>
      <c r="P224">
        <v>29</v>
      </c>
      <c r="Q224" t="s">
        <v>9</v>
      </c>
      <c r="R224" t="s">
        <v>9</v>
      </c>
      <c r="S224" t="s">
        <v>9</v>
      </c>
      <c r="T224" s="2">
        <v>40634</v>
      </c>
      <c r="U224">
        <v>9</v>
      </c>
      <c r="V224">
        <f t="shared" ca="1" si="3"/>
        <v>0.38905771558563285</v>
      </c>
    </row>
    <row r="225" spans="1:22">
      <c r="A225">
        <v>224</v>
      </c>
      <c r="B225" t="s">
        <v>1</v>
      </c>
      <c r="C225" t="s">
        <v>58</v>
      </c>
      <c r="D225" t="s">
        <v>52</v>
      </c>
      <c r="E225">
        <v>2</v>
      </c>
      <c r="F225" t="s">
        <v>53</v>
      </c>
      <c r="G225" t="s">
        <v>50</v>
      </c>
      <c r="H225" t="s">
        <v>6</v>
      </c>
      <c r="I225" t="s">
        <v>6</v>
      </c>
      <c r="J225" s="1" t="s">
        <v>39</v>
      </c>
      <c r="K225" t="s">
        <v>39</v>
      </c>
      <c r="L225">
        <v>2</v>
      </c>
      <c r="M225" t="str">
        <f>IF(D225="Y","",IF(N225="Y",INDEX(#REF!,MATCH(C225,#REF!,0)),C225))</f>
        <v>3 - Senior Manager</v>
      </c>
      <c r="N225" t="s">
        <v>52</v>
      </c>
      <c r="O225" t="s">
        <v>42</v>
      </c>
      <c r="P225">
        <v>46</v>
      </c>
      <c r="Q225" t="s">
        <v>19</v>
      </c>
      <c r="R225" t="s">
        <v>45</v>
      </c>
      <c r="S225" t="s">
        <v>45</v>
      </c>
      <c r="T225" s="2">
        <v>40634</v>
      </c>
      <c r="U225">
        <v>9</v>
      </c>
      <c r="V225">
        <f t="shared" ca="1" si="3"/>
        <v>0.26503733402754159</v>
      </c>
    </row>
    <row r="226" spans="1:22">
      <c r="A226">
        <v>225</v>
      </c>
      <c r="B226" t="s">
        <v>1</v>
      </c>
      <c r="C226" t="s">
        <v>61</v>
      </c>
      <c r="D226" t="s">
        <v>52</v>
      </c>
      <c r="E226">
        <v>2</v>
      </c>
      <c r="F226" t="s">
        <v>53</v>
      </c>
      <c r="G226" t="s">
        <v>50</v>
      </c>
      <c r="H226" t="s">
        <v>7</v>
      </c>
      <c r="I226" t="s">
        <v>7</v>
      </c>
      <c r="J226" s="1" t="s">
        <v>39</v>
      </c>
      <c r="K226" t="s">
        <v>39</v>
      </c>
      <c r="L226">
        <v>1</v>
      </c>
      <c r="M226" t="e">
        <f>IF(D226="Y","",IF(N226="Y",INDEX(#REF!,MATCH(C226,#REF!,0)),C226))</f>
        <v>#REF!</v>
      </c>
      <c r="N226" t="s">
        <v>50</v>
      </c>
      <c r="O226" t="s">
        <v>40</v>
      </c>
      <c r="P226">
        <v>25</v>
      </c>
      <c r="Q226" t="s">
        <v>12</v>
      </c>
      <c r="R226" t="s">
        <v>45</v>
      </c>
      <c r="S226" t="s">
        <v>45</v>
      </c>
      <c r="T226" s="2">
        <v>41730</v>
      </c>
      <c r="U226">
        <v>6</v>
      </c>
      <c r="V226">
        <f t="shared" ca="1" si="3"/>
        <v>4.9017565274482977E-2</v>
      </c>
    </row>
    <row r="227" spans="1:22">
      <c r="A227">
        <v>226</v>
      </c>
      <c r="B227" t="s">
        <v>1</v>
      </c>
      <c r="C227" t="s">
        <v>56</v>
      </c>
      <c r="D227" t="s">
        <v>52</v>
      </c>
      <c r="E227">
        <v>2</v>
      </c>
      <c r="F227" t="s">
        <v>53</v>
      </c>
      <c r="G227" t="s">
        <v>50</v>
      </c>
      <c r="H227" t="s">
        <v>7</v>
      </c>
      <c r="I227" t="s">
        <v>7</v>
      </c>
      <c r="J227" s="1" t="s">
        <v>39</v>
      </c>
      <c r="K227" t="s">
        <v>39</v>
      </c>
      <c r="L227">
        <v>3</v>
      </c>
      <c r="M227" t="str">
        <f>IF(D227="Y","",IF(N227="Y",INDEX(#REF!,MATCH(C227,#REF!,0)),C227))</f>
        <v>6 - Junior Officer</v>
      </c>
      <c r="N227" t="s">
        <v>52</v>
      </c>
      <c r="O227" t="s">
        <v>40</v>
      </c>
      <c r="P227">
        <v>21</v>
      </c>
      <c r="Q227" t="s">
        <v>9</v>
      </c>
      <c r="R227" t="s">
        <v>9</v>
      </c>
      <c r="S227" t="s">
        <v>9</v>
      </c>
      <c r="T227" s="2">
        <v>42826</v>
      </c>
      <c r="U227">
        <v>3</v>
      </c>
      <c r="V227">
        <f t="shared" ca="1" si="3"/>
        <v>0.36965623419712657</v>
      </c>
    </row>
    <row r="228" spans="1:22">
      <c r="A228">
        <v>227</v>
      </c>
      <c r="B228" t="s">
        <v>1</v>
      </c>
      <c r="C228" s="3" t="s">
        <v>57</v>
      </c>
      <c r="D228" t="s">
        <v>52</v>
      </c>
      <c r="E228">
        <v>3</v>
      </c>
      <c r="F228" t="s">
        <v>51</v>
      </c>
      <c r="G228" t="s">
        <v>50</v>
      </c>
      <c r="H228" t="s">
        <v>7</v>
      </c>
      <c r="I228" t="s">
        <v>7</v>
      </c>
      <c r="J228" s="1" t="s">
        <v>39</v>
      </c>
      <c r="K228" t="s">
        <v>39</v>
      </c>
      <c r="L228">
        <v>3</v>
      </c>
      <c r="M228" t="str">
        <f>IF(D228="Y","",IF(N228="Y",INDEX(#REF!,MATCH(C228,#REF!,0)),C228))</f>
        <v>4 - Manager</v>
      </c>
      <c r="N228" t="s">
        <v>52</v>
      </c>
      <c r="O228" t="s">
        <v>42</v>
      </c>
      <c r="P228">
        <v>43</v>
      </c>
      <c r="Q228" t="s">
        <v>9</v>
      </c>
      <c r="R228" t="s">
        <v>9</v>
      </c>
      <c r="S228" t="s">
        <v>9</v>
      </c>
      <c r="T228" s="2">
        <v>40634</v>
      </c>
      <c r="U228">
        <v>9</v>
      </c>
      <c r="V228">
        <f t="shared" ca="1" si="3"/>
        <v>0.4685992816232073</v>
      </c>
    </row>
    <row r="229" spans="1:22">
      <c r="A229">
        <v>228</v>
      </c>
      <c r="B229" t="s">
        <v>1</v>
      </c>
      <c r="C229" t="s">
        <v>61</v>
      </c>
      <c r="D229" t="s">
        <v>52</v>
      </c>
      <c r="E229">
        <v>2</v>
      </c>
      <c r="F229" t="s">
        <v>53</v>
      </c>
      <c r="G229" t="s">
        <v>50</v>
      </c>
      <c r="H229" t="s">
        <v>6</v>
      </c>
      <c r="I229" t="s">
        <v>6</v>
      </c>
      <c r="J229" s="1" t="s">
        <v>39</v>
      </c>
      <c r="K229" t="s">
        <v>39</v>
      </c>
      <c r="L229">
        <v>2</v>
      </c>
      <c r="M229" t="str">
        <f>IF(D229="Y","",IF(N229="Y",INDEX(#REF!,MATCH(C229,#REF!,0)),C229))</f>
        <v>5 - Senior Officer</v>
      </c>
      <c r="N229" t="s">
        <v>52</v>
      </c>
      <c r="O229" t="s">
        <v>41</v>
      </c>
      <c r="P229">
        <v>31</v>
      </c>
      <c r="Q229" t="s">
        <v>9</v>
      </c>
      <c r="R229" t="s">
        <v>9</v>
      </c>
      <c r="S229" t="s">
        <v>9</v>
      </c>
      <c r="T229" s="2">
        <v>42461</v>
      </c>
      <c r="U229">
        <v>4</v>
      </c>
      <c r="V229">
        <f t="shared" ca="1" si="3"/>
        <v>0.64945269978435149</v>
      </c>
    </row>
    <row r="230" spans="1:22">
      <c r="A230">
        <v>229</v>
      </c>
      <c r="B230" t="s">
        <v>1</v>
      </c>
      <c r="C230" t="s">
        <v>58</v>
      </c>
      <c r="D230" t="s">
        <v>52</v>
      </c>
      <c r="E230">
        <v>2</v>
      </c>
      <c r="F230" t="s">
        <v>53</v>
      </c>
      <c r="G230" t="s">
        <v>50</v>
      </c>
      <c r="H230" t="s">
        <v>6</v>
      </c>
      <c r="I230" t="s">
        <v>6</v>
      </c>
      <c r="J230" s="1" t="s">
        <v>39</v>
      </c>
      <c r="K230" t="s">
        <v>39</v>
      </c>
      <c r="L230">
        <v>3</v>
      </c>
      <c r="M230" t="str">
        <f>IF(D230="Y","",IF(N230="Y",INDEX(#REF!,MATCH(C230,#REF!,0)),C230))</f>
        <v>3 - Senior Manager</v>
      </c>
      <c r="N230" t="s">
        <v>52</v>
      </c>
      <c r="O230" t="s">
        <v>41</v>
      </c>
      <c r="P230">
        <v>35</v>
      </c>
      <c r="Q230" t="s">
        <v>9</v>
      </c>
      <c r="R230" t="s">
        <v>9</v>
      </c>
      <c r="S230" t="s">
        <v>9</v>
      </c>
      <c r="T230" s="2">
        <v>42461</v>
      </c>
      <c r="U230">
        <v>4</v>
      </c>
      <c r="V230">
        <f t="shared" ca="1" si="3"/>
        <v>0.71641507210269362</v>
      </c>
    </row>
    <row r="231" spans="1:22">
      <c r="A231">
        <v>230</v>
      </c>
      <c r="B231" t="s">
        <v>0</v>
      </c>
      <c r="C231" s="3" t="s">
        <v>56</v>
      </c>
      <c r="D231" t="s">
        <v>52</v>
      </c>
      <c r="E231">
        <v>2</v>
      </c>
      <c r="F231" t="s">
        <v>51</v>
      </c>
      <c r="G231" t="s">
        <v>50</v>
      </c>
      <c r="H231" t="s">
        <v>5</v>
      </c>
      <c r="I231" t="s">
        <v>5</v>
      </c>
      <c r="J231" s="1" t="s">
        <v>39</v>
      </c>
      <c r="K231" t="s">
        <v>39</v>
      </c>
      <c r="L231">
        <v>2</v>
      </c>
      <c r="M231" t="str">
        <f>IF(D231="Y","",IF(N231="Y",INDEX(#REF!,MATCH(C231,#REF!,0)),C231))</f>
        <v>6 - Junior Officer</v>
      </c>
      <c r="N231" t="s">
        <v>52</v>
      </c>
      <c r="O231" t="s">
        <v>42</v>
      </c>
      <c r="P231">
        <v>42</v>
      </c>
      <c r="Q231" t="s">
        <v>9</v>
      </c>
      <c r="R231" t="s">
        <v>9</v>
      </c>
      <c r="S231" t="s">
        <v>9</v>
      </c>
      <c r="T231" s="2">
        <v>43191</v>
      </c>
      <c r="U231">
        <v>2</v>
      </c>
      <c r="V231">
        <f t="shared" ca="1" si="3"/>
        <v>0.26972617737010296</v>
      </c>
    </row>
    <row r="232" spans="1:22">
      <c r="A232">
        <v>231</v>
      </c>
      <c r="B232" t="s">
        <v>1</v>
      </c>
      <c r="C232" t="s">
        <v>58</v>
      </c>
      <c r="D232" t="s">
        <v>52</v>
      </c>
      <c r="E232">
        <v>3</v>
      </c>
      <c r="F232" t="s">
        <v>53</v>
      </c>
      <c r="G232" t="s">
        <v>50</v>
      </c>
      <c r="H232" t="s">
        <v>3</v>
      </c>
      <c r="I232" t="s">
        <v>3</v>
      </c>
      <c r="J232" s="1" t="s">
        <v>39</v>
      </c>
      <c r="K232" t="s">
        <v>39</v>
      </c>
      <c r="L232">
        <v>3</v>
      </c>
      <c r="M232" t="str">
        <f>IF(D232="Y","",IF(N232="Y",INDEX(#REF!,MATCH(C232,#REF!,0)),C232))</f>
        <v>3 - Senior Manager</v>
      </c>
      <c r="N232" t="s">
        <v>52</v>
      </c>
      <c r="O232" t="s">
        <v>41</v>
      </c>
      <c r="P232">
        <v>39</v>
      </c>
      <c r="Q232" t="s">
        <v>20</v>
      </c>
      <c r="R232" t="s">
        <v>45</v>
      </c>
      <c r="S232" t="s">
        <v>45</v>
      </c>
      <c r="T232" s="2">
        <v>42461</v>
      </c>
      <c r="U232">
        <v>4</v>
      </c>
      <c r="V232">
        <f t="shared" ca="1" si="3"/>
        <v>0.35583214569434574</v>
      </c>
    </row>
    <row r="233" spans="1:22">
      <c r="A233">
        <v>232</v>
      </c>
      <c r="B233" t="s">
        <v>0</v>
      </c>
      <c r="C233" t="s">
        <v>56</v>
      </c>
      <c r="D233" t="s">
        <v>52</v>
      </c>
      <c r="E233">
        <v>2</v>
      </c>
      <c r="F233" t="s">
        <v>53</v>
      </c>
      <c r="G233" t="s">
        <v>50</v>
      </c>
      <c r="H233" t="s">
        <v>5</v>
      </c>
      <c r="I233" t="s">
        <v>5</v>
      </c>
      <c r="J233" s="1" t="s">
        <v>39</v>
      </c>
      <c r="K233" t="s">
        <v>39</v>
      </c>
      <c r="L233">
        <v>3</v>
      </c>
      <c r="M233" t="str">
        <f>IF(D233="Y","",IF(N233="Y",INDEX(#REF!,MATCH(C233,#REF!,0)),C233))</f>
        <v>6 - Junior Officer</v>
      </c>
      <c r="N233" t="s">
        <v>52</v>
      </c>
      <c r="O233" t="s">
        <v>41</v>
      </c>
      <c r="P233">
        <v>34</v>
      </c>
      <c r="Q233" t="s">
        <v>11</v>
      </c>
      <c r="R233" t="s">
        <v>45</v>
      </c>
      <c r="S233" t="s">
        <v>45</v>
      </c>
      <c r="T233" s="2">
        <v>42826</v>
      </c>
      <c r="U233">
        <v>3</v>
      </c>
      <c r="V233">
        <f t="shared" ca="1" si="3"/>
        <v>0.36308549077537411</v>
      </c>
    </row>
    <row r="234" spans="1:22">
      <c r="A234">
        <v>233</v>
      </c>
      <c r="B234" t="s">
        <v>0</v>
      </c>
      <c r="C234" t="s">
        <v>56</v>
      </c>
      <c r="D234" t="s">
        <v>50</v>
      </c>
      <c r="F234" t="s">
        <v>53</v>
      </c>
      <c r="G234" t="s">
        <v>52</v>
      </c>
      <c r="H234" t="s">
        <v>8</v>
      </c>
      <c r="I234" t="s">
        <v>8</v>
      </c>
      <c r="J234" s="1">
        <v>0.8</v>
      </c>
      <c r="K234" t="s">
        <v>38</v>
      </c>
      <c r="L234">
        <v>0</v>
      </c>
      <c r="M234" t="str">
        <f>IF(D234="Y","",IF(N234="Y",INDEX(#REF!,MATCH(C234,#REF!,0)),C234))</f>
        <v/>
      </c>
      <c r="N234" t="s">
        <v>52</v>
      </c>
      <c r="O234" t="s">
        <v>40</v>
      </c>
      <c r="P234">
        <v>25</v>
      </c>
      <c r="Q234" t="s">
        <v>9</v>
      </c>
      <c r="R234" t="s">
        <v>9</v>
      </c>
      <c r="S234" t="s">
        <v>9</v>
      </c>
      <c r="T234" s="2">
        <v>43922</v>
      </c>
      <c r="U234">
        <v>0</v>
      </c>
      <c r="V234">
        <f t="shared" ca="1" si="3"/>
        <v>0.7093948209642541</v>
      </c>
    </row>
    <row r="235" spans="1:22">
      <c r="A235">
        <v>234</v>
      </c>
      <c r="B235" t="s">
        <v>0</v>
      </c>
      <c r="C235" t="s">
        <v>56</v>
      </c>
      <c r="D235" t="s">
        <v>52</v>
      </c>
      <c r="E235">
        <v>2</v>
      </c>
      <c r="F235" t="s">
        <v>53</v>
      </c>
      <c r="G235" t="s">
        <v>50</v>
      </c>
      <c r="H235" t="s">
        <v>5</v>
      </c>
      <c r="I235" t="s">
        <v>5</v>
      </c>
      <c r="J235" s="1" t="s">
        <v>39</v>
      </c>
      <c r="K235" t="s">
        <v>39</v>
      </c>
      <c r="L235">
        <v>2</v>
      </c>
      <c r="M235" t="str">
        <f>IF(D235="Y","",IF(N235="Y",INDEX(#REF!,MATCH(C235,#REF!,0)),C235))</f>
        <v>6 - Junior Officer</v>
      </c>
      <c r="N235" t="s">
        <v>52</v>
      </c>
      <c r="O235" t="s">
        <v>40</v>
      </c>
      <c r="P235">
        <v>29</v>
      </c>
      <c r="Q235" t="s">
        <v>19</v>
      </c>
      <c r="R235" t="s">
        <v>45</v>
      </c>
      <c r="S235" t="s">
        <v>45</v>
      </c>
      <c r="T235" s="2">
        <v>43191</v>
      </c>
      <c r="U235">
        <v>2</v>
      </c>
      <c r="V235">
        <f t="shared" ca="1" si="3"/>
        <v>0.71882252237483069</v>
      </c>
    </row>
    <row r="236" spans="1:22">
      <c r="A236">
        <v>235</v>
      </c>
      <c r="B236" t="s">
        <v>1</v>
      </c>
      <c r="C236" t="s">
        <v>57</v>
      </c>
      <c r="D236" t="s">
        <v>52</v>
      </c>
      <c r="E236">
        <v>3</v>
      </c>
      <c r="F236" t="s">
        <v>53</v>
      </c>
      <c r="G236" t="s">
        <v>50</v>
      </c>
      <c r="H236" t="s">
        <v>6</v>
      </c>
      <c r="I236" t="s">
        <v>6</v>
      </c>
      <c r="J236" s="1" t="s">
        <v>39</v>
      </c>
      <c r="K236" t="s">
        <v>39</v>
      </c>
      <c r="L236">
        <v>2</v>
      </c>
      <c r="M236" t="str">
        <f>IF(D236="Y","",IF(N236="Y",INDEX(#REF!,MATCH(C236,#REF!,0)),C236))</f>
        <v>4 - Manager</v>
      </c>
      <c r="N236" t="s">
        <v>52</v>
      </c>
      <c r="O236" t="s">
        <v>41</v>
      </c>
      <c r="P236">
        <v>32</v>
      </c>
      <c r="Q236" t="s">
        <v>9</v>
      </c>
      <c r="R236" t="s">
        <v>9</v>
      </c>
      <c r="S236" t="s">
        <v>9</v>
      </c>
      <c r="T236" s="2">
        <v>41730</v>
      </c>
      <c r="U236">
        <v>6</v>
      </c>
      <c r="V236">
        <f t="shared" ca="1" si="3"/>
        <v>6.4400928485875197E-2</v>
      </c>
    </row>
    <row r="237" spans="1:22">
      <c r="A237">
        <v>236</v>
      </c>
      <c r="B237" t="s">
        <v>0</v>
      </c>
      <c r="C237" t="s">
        <v>56</v>
      </c>
      <c r="D237" t="s">
        <v>52</v>
      </c>
      <c r="E237">
        <v>3</v>
      </c>
      <c r="F237" t="s">
        <v>53</v>
      </c>
      <c r="G237" t="s">
        <v>50</v>
      </c>
      <c r="H237" t="s">
        <v>7</v>
      </c>
      <c r="I237" t="s">
        <v>7</v>
      </c>
      <c r="J237" s="1" t="s">
        <v>39</v>
      </c>
      <c r="K237" t="s">
        <v>39</v>
      </c>
      <c r="L237">
        <v>1</v>
      </c>
      <c r="M237" t="str">
        <f>IF(D237="Y","",IF(N237="Y",INDEX(#REF!,MATCH(C237,#REF!,0)),C237))</f>
        <v>6 - Junior Officer</v>
      </c>
      <c r="N237" t="s">
        <v>52</v>
      </c>
      <c r="O237" t="s">
        <v>40</v>
      </c>
      <c r="P237">
        <v>22</v>
      </c>
      <c r="Q237" t="s">
        <v>9</v>
      </c>
      <c r="R237" t="s">
        <v>9</v>
      </c>
      <c r="S237" t="s">
        <v>9</v>
      </c>
      <c r="T237" s="2">
        <v>43556</v>
      </c>
      <c r="U237">
        <v>1</v>
      </c>
      <c r="V237">
        <f t="shared" ca="1" si="3"/>
        <v>0.72540742281952286</v>
      </c>
    </row>
    <row r="238" spans="1:22">
      <c r="A238">
        <v>237</v>
      </c>
      <c r="B238" t="s">
        <v>0</v>
      </c>
      <c r="C238" t="s">
        <v>56</v>
      </c>
      <c r="D238" t="s">
        <v>52</v>
      </c>
      <c r="E238">
        <v>2</v>
      </c>
      <c r="F238" t="s">
        <v>53</v>
      </c>
      <c r="G238" t="s">
        <v>50</v>
      </c>
      <c r="H238" t="s">
        <v>5</v>
      </c>
      <c r="I238" t="s">
        <v>5</v>
      </c>
      <c r="J238" s="1" t="s">
        <v>39</v>
      </c>
      <c r="K238" t="s">
        <v>39</v>
      </c>
      <c r="L238">
        <v>4</v>
      </c>
      <c r="M238" t="str">
        <f>IF(D238="Y","",IF(N238="Y",INDEX(#REF!,MATCH(C238,#REF!,0)),C238))</f>
        <v>6 - Junior Officer</v>
      </c>
      <c r="N238" t="s">
        <v>52</v>
      </c>
      <c r="O238" t="s">
        <v>41</v>
      </c>
      <c r="P238">
        <v>31</v>
      </c>
      <c r="Q238" t="s">
        <v>9</v>
      </c>
      <c r="R238" t="s">
        <v>9</v>
      </c>
      <c r="S238" t="s">
        <v>9</v>
      </c>
      <c r="T238" s="2">
        <v>42461</v>
      </c>
      <c r="U238">
        <v>4</v>
      </c>
      <c r="V238">
        <f t="shared" ca="1" si="3"/>
        <v>0.23808107470566608</v>
      </c>
    </row>
    <row r="239" spans="1:22">
      <c r="A239">
        <v>238</v>
      </c>
      <c r="B239" t="s">
        <v>0</v>
      </c>
      <c r="C239" t="s">
        <v>56</v>
      </c>
      <c r="D239" t="s">
        <v>50</v>
      </c>
      <c r="F239" t="s">
        <v>53</v>
      </c>
      <c r="G239" t="s">
        <v>52</v>
      </c>
      <c r="H239" t="s">
        <v>5</v>
      </c>
      <c r="I239" t="s">
        <v>5</v>
      </c>
      <c r="J239" s="1" t="s">
        <v>39</v>
      </c>
      <c r="K239" t="s">
        <v>39</v>
      </c>
      <c r="L239">
        <v>0</v>
      </c>
      <c r="M239" t="str">
        <f>IF(D239="Y","",IF(N239="Y",INDEX(#REF!,MATCH(C239,#REF!,0)),C239))</f>
        <v/>
      </c>
      <c r="N239" t="s">
        <v>52</v>
      </c>
      <c r="O239" t="s">
        <v>40</v>
      </c>
      <c r="P239">
        <v>22</v>
      </c>
      <c r="Q239" t="s">
        <v>20</v>
      </c>
      <c r="R239" t="s">
        <v>45</v>
      </c>
      <c r="S239" t="s">
        <v>45</v>
      </c>
      <c r="T239" s="2">
        <v>43922</v>
      </c>
      <c r="U239">
        <v>0</v>
      </c>
      <c r="V239">
        <f t="shared" ca="1" si="3"/>
        <v>0.61227799669190741</v>
      </c>
    </row>
    <row r="240" spans="1:22">
      <c r="A240">
        <v>239</v>
      </c>
      <c r="B240" t="s">
        <v>1</v>
      </c>
      <c r="C240" t="s">
        <v>57</v>
      </c>
      <c r="D240" t="s">
        <v>52</v>
      </c>
      <c r="E240">
        <v>2</v>
      </c>
      <c r="F240" t="s">
        <v>53</v>
      </c>
      <c r="G240" t="s">
        <v>50</v>
      </c>
      <c r="H240" t="s">
        <v>7</v>
      </c>
      <c r="I240" t="s">
        <v>7</v>
      </c>
      <c r="J240" s="1" t="s">
        <v>39</v>
      </c>
      <c r="K240" t="s">
        <v>39</v>
      </c>
      <c r="L240">
        <v>2</v>
      </c>
      <c r="M240" t="str">
        <f>IF(D240="Y","",IF(N240="Y",INDEX(#REF!,MATCH(C240,#REF!,0)),C240))</f>
        <v>4 - Manager</v>
      </c>
      <c r="N240" t="s">
        <v>52</v>
      </c>
      <c r="O240" t="s">
        <v>41</v>
      </c>
      <c r="P240">
        <v>36</v>
      </c>
      <c r="Q240" t="s">
        <v>15</v>
      </c>
      <c r="R240" t="s">
        <v>45</v>
      </c>
      <c r="S240" t="s">
        <v>45</v>
      </c>
      <c r="T240" s="2">
        <v>41730</v>
      </c>
      <c r="U240">
        <v>6</v>
      </c>
      <c r="V240">
        <f t="shared" ca="1" si="3"/>
        <v>0.37865181720222585</v>
      </c>
    </row>
    <row r="241" spans="1:22">
      <c r="A241">
        <v>240</v>
      </c>
      <c r="B241" t="s">
        <v>0</v>
      </c>
      <c r="C241" t="s">
        <v>56</v>
      </c>
      <c r="D241" t="s">
        <v>52</v>
      </c>
      <c r="E241">
        <v>2</v>
      </c>
      <c r="F241" t="s">
        <v>53</v>
      </c>
      <c r="G241" t="s">
        <v>50</v>
      </c>
      <c r="H241" t="s">
        <v>5</v>
      </c>
      <c r="I241" t="s">
        <v>5</v>
      </c>
      <c r="J241" s="1" t="s">
        <v>39</v>
      </c>
      <c r="K241" t="s">
        <v>39</v>
      </c>
      <c r="L241">
        <v>4</v>
      </c>
      <c r="M241" t="str">
        <f>IF(D241="Y","",IF(N241="Y",INDEX(#REF!,MATCH(C241,#REF!,0)),C241))</f>
        <v>6 - Junior Officer</v>
      </c>
      <c r="N241" t="s">
        <v>52</v>
      </c>
      <c r="O241" t="s">
        <v>40</v>
      </c>
      <c r="P241">
        <v>27</v>
      </c>
      <c r="Q241" t="s">
        <v>15</v>
      </c>
      <c r="R241" t="s">
        <v>45</v>
      </c>
      <c r="S241" t="s">
        <v>45</v>
      </c>
      <c r="T241" s="2">
        <v>42461</v>
      </c>
      <c r="U241">
        <v>4</v>
      </c>
      <c r="V241">
        <f t="shared" ca="1" si="3"/>
        <v>0.2709941503509169</v>
      </c>
    </row>
    <row r="242" spans="1:22">
      <c r="A242">
        <v>241</v>
      </c>
      <c r="B242" t="s">
        <v>0</v>
      </c>
      <c r="C242" t="s">
        <v>57</v>
      </c>
      <c r="D242" t="s">
        <v>52</v>
      </c>
      <c r="E242">
        <v>2</v>
      </c>
      <c r="F242" t="s">
        <v>53</v>
      </c>
      <c r="G242" t="s">
        <v>50</v>
      </c>
      <c r="H242" t="s">
        <v>6</v>
      </c>
      <c r="I242" t="s">
        <v>6</v>
      </c>
      <c r="J242" s="1" t="s">
        <v>39</v>
      </c>
      <c r="K242" t="s">
        <v>39</v>
      </c>
      <c r="L242">
        <v>2</v>
      </c>
      <c r="M242" t="str">
        <f>IF(D242="Y","",IF(N242="Y",INDEX(#REF!,MATCH(C242,#REF!,0)),C242))</f>
        <v>4 - Manager</v>
      </c>
      <c r="N242" t="s">
        <v>52</v>
      </c>
      <c r="O242" t="s">
        <v>41</v>
      </c>
      <c r="P242">
        <v>38</v>
      </c>
      <c r="Q242" t="s">
        <v>19</v>
      </c>
      <c r="R242" t="s">
        <v>45</v>
      </c>
      <c r="S242" t="s">
        <v>45</v>
      </c>
      <c r="T242" s="2">
        <v>43191</v>
      </c>
      <c r="U242">
        <v>2</v>
      </c>
      <c r="V242">
        <f t="shared" ca="1" si="3"/>
        <v>0.56348600194434839</v>
      </c>
    </row>
    <row r="243" spans="1:22">
      <c r="A243">
        <v>242</v>
      </c>
      <c r="B243" t="s">
        <v>1</v>
      </c>
      <c r="C243" s="3" t="s">
        <v>61</v>
      </c>
      <c r="D243" t="s">
        <v>52</v>
      </c>
      <c r="E243">
        <v>3</v>
      </c>
      <c r="F243" t="s">
        <v>51</v>
      </c>
      <c r="G243" t="s">
        <v>50</v>
      </c>
      <c r="H243" t="s">
        <v>6</v>
      </c>
      <c r="I243" t="s">
        <v>6</v>
      </c>
      <c r="J243" s="1" t="s">
        <v>39</v>
      </c>
      <c r="K243" t="s">
        <v>39</v>
      </c>
      <c r="L243">
        <v>3</v>
      </c>
      <c r="M243" t="str">
        <f>IF(D243="Y","",IF(N243="Y",INDEX(#REF!,MATCH(C243,#REF!,0)),C243))</f>
        <v>5 - Senior Officer</v>
      </c>
      <c r="N243" t="s">
        <v>52</v>
      </c>
      <c r="O243" t="s">
        <v>41</v>
      </c>
      <c r="P243">
        <v>37</v>
      </c>
      <c r="Q243" t="s">
        <v>20</v>
      </c>
      <c r="R243" t="s">
        <v>45</v>
      </c>
      <c r="S243" t="s">
        <v>45</v>
      </c>
      <c r="T243" s="2">
        <v>42826</v>
      </c>
      <c r="U243">
        <v>3</v>
      </c>
      <c r="V243">
        <f t="shared" ca="1" si="3"/>
        <v>0.55077262087456746</v>
      </c>
    </row>
    <row r="244" spans="1:22">
      <c r="A244">
        <v>243</v>
      </c>
      <c r="B244" t="s">
        <v>1</v>
      </c>
      <c r="C244" t="s">
        <v>59</v>
      </c>
      <c r="D244" t="s">
        <v>52</v>
      </c>
      <c r="E244">
        <v>3</v>
      </c>
      <c r="F244" t="s">
        <v>53</v>
      </c>
      <c r="G244" t="s">
        <v>50</v>
      </c>
      <c r="H244" t="s">
        <v>5</v>
      </c>
      <c r="I244" t="s">
        <v>5</v>
      </c>
      <c r="J244" s="1" t="s">
        <v>39</v>
      </c>
      <c r="K244" t="s">
        <v>39</v>
      </c>
      <c r="L244">
        <v>1</v>
      </c>
      <c r="M244" t="e">
        <f>IF(D244="Y","",IF(N244="Y",INDEX(#REF!,MATCH(C244,#REF!,0)),C244))</f>
        <v>#REF!</v>
      </c>
      <c r="N244" t="s">
        <v>50</v>
      </c>
      <c r="O244" t="s">
        <v>42</v>
      </c>
      <c r="P244">
        <v>42</v>
      </c>
      <c r="Q244" t="s">
        <v>9</v>
      </c>
      <c r="R244" t="s">
        <v>9</v>
      </c>
      <c r="S244" t="s">
        <v>9</v>
      </c>
      <c r="T244" s="2">
        <v>41365</v>
      </c>
      <c r="U244">
        <v>7</v>
      </c>
      <c r="V244">
        <f t="shared" ca="1" si="3"/>
        <v>0.2571514645584817</v>
      </c>
    </row>
    <row r="245" spans="1:22">
      <c r="A245">
        <v>244</v>
      </c>
      <c r="B245" t="s">
        <v>1</v>
      </c>
      <c r="C245" t="s">
        <v>58</v>
      </c>
      <c r="D245" t="s">
        <v>52</v>
      </c>
      <c r="E245">
        <v>2</v>
      </c>
      <c r="F245" t="s">
        <v>53</v>
      </c>
      <c r="G245" t="s">
        <v>50</v>
      </c>
      <c r="H245" t="s">
        <v>7</v>
      </c>
      <c r="I245" t="s">
        <v>7</v>
      </c>
      <c r="J245" s="1" t="s">
        <v>39</v>
      </c>
      <c r="K245" t="s">
        <v>39</v>
      </c>
      <c r="L245">
        <v>4</v>
      </c>
      <c r="M245" t="str">
        <f>IF(D245="Y","",IF(N245="Y",INDEX(#REF!,MATCH(C245,#REF!,0)),C245))</f>
        <v>3 - Senior Manager</v>
      </c>
      <c r="N245" t="s">
        <v>52</v>
      </c>
      <c r="O245" t="s">
        <v>42</v>
      </c>
      <c r="P245">
        <v>41</v>
      </c>
      <c r="Q245" t="s">
        <v>25</v>
      </c>
      <c r="R245" t="s">
        <v>45</v>
      </c>
      <c r="S245" t="s">
        <v>45</v>
      </c>
      <c r="T245" s="2">
        <v>40634</v>
      </c>
      <c r="U245">
        <v>9</v>
      </c>
      <c r="V245">
        <f t="shared" ca="1" si="3"/>
        <v>0.73850238385773881</v>
      </c>
    </row>
    <row r="246" spans="1:22">
      <c r="A246">
        <v>245</v>
      </c>
      <c r="B246" t="s">
        <v>0</v>
      </c>
      <c r="C246" s="3" t="s">
        <v>61</v>
      </c>
      <c r="D246" t="s">
        <v>52</v>
      </c>
      <c r="E246">
        <v>2</v>
      </c>
      <c r="F246" t="s">
        <v>51</v>
      </c>
      <c r="G246" t="s">
        <v>50</v>
      </c>
      <c r="H246" t="s">
        <v>5</v>
      </c>
      <c r="I246" t="s">
        <v>5</v>
      </c>
      <c r="J246" s="1">
        <v>0.7</v>
      </c>
      <c r="K246" t="s">
        <v>38</v>
      </c>
      <c r="L246">
        <v>5</v>
      </c>
      <c r="M246" t="str">
        <f>IF(D246="Y","",IF(N246="Y",INDEX(#REF!,MATCH(C246,#REF!,0)),C246))</f>
        <v>5 - Senior Officer</v>
      </c>
      <c r="N246" t="s">
        <v>52</v>
      </c>
      <c r="O246" t="s">
        <v>42</v>
      </c>
      <c r="P246">
        <v>49</v>
      </c>
      <c r="Q246" t="s">
        <v>9</v>
      </c>
      <c r="R246" t="s">
        <v>9</v>
      </c>
      <c r="S246" t="s">
        <v>9</v>
      </c>
      <c r="T246" s="2">
        <v>42095</v>
      </c>
      <c r="U246">
        <v>5</v>
      </c>
      <c r="V246">
        <f t="shared" ca="1" si="3"/>
        <v>8.161960697069981E-2</v>
      </c>
    </row>
    <row r="247" spans="1:22">
      <c r="A247">
        <v>246</v>
      </c>
      <c r="B247" t="s">
        <v>1</v>
      </c>
      <c r="C247" s="3" t="s">
        <v>56</v>
      </c>
      <c r="D247" t="s">
        <v>52</v>
      </c>
      <c r="E247">
        <v>3</v>
      </c>
      <c r="F247" t="s">
        <v>51</v>
      </c>
      <c r="G247" t="s">
        <v>50</v>
      </c>
      <c r="H247" t="s">
        <v>7</v>
      </c>
      <c r="I247" t="s">
        <v>7</v>
      </c>
      <c r="J247" s="1" t="s">
        <v>39</v>
      </c>
      <c r="K247" t="s">
        <v>39</v>
      </c>
      <c r="L247">
        <v>5</v>
      </c>
      <c r="M247" t="str">
        <f>IF(D247="Y","",IF(N247="Y",INDEX(#REF!,MATCH(C247,#REF!,0)),C247))</f>
        <v>6 - Junior Officer</v>
      </c>
      <c r="N247" t="s">
        <v>52</v>
      </c>
      <c r="O247" t="s">
        <v>40</v>
      </c>
      <c r="P247">
        <v>25</v>
      </c>
      <c r="Q247" t="s">
        <v>9</v>
      </c>
      <c r="R247" t="s">
        <v>9</v>
      </c>
      <c r="S247" t="s">
        <v>9</v>
      </c>
      <c r="T247" s="2">
        <v>42095</v>
      </c>
      <c r="U247">
        <v>5</v>
      </c>
      <c r="V247">
        <f t="shared" ca="1" si="3"/>
        <v>0.99271801738807641</v>
      </c>
    </row>
    <row r="248" spans="1:22">
      <c r="A248">
        <v>247</v>
      </c>
      <c r="B248" t="s">
        <v>1</v>
      </c>
      <c r="C248" t="s">
        <v>56</v>
      </c>
      <c r="D248" t="s">
        <v>52</v>
      </c>
      <c r="E248">
        <v>3</v>
      </c>
      <c r="F248" t="s">
        <v>53</v>
      </c>
      <c r="G248" t="s">
        <v>50</v>
      </c>
      <c r="H248" t="s">
        <v>5</v>
      </c>
      <c r="I248" t="s">
        <v>5</v>
      </c>
      <c r="J248" s="1" t="s">
        <v>39</v>
      </c>
      <c r="K248" t="s">
        <v>39</v>
      </c>
      <c r="L248">
        <v>3</v>
      </c>
      <c r="M248" t="str">
        <f>IF(D248="Y","",IF(N248="Y",INDEX(#REF!,MATCH(C248,#REF!,0)),C248))</f>
        <v>6 - Junior Officer</v>
      </c>
      <c r="N248" t="s">
        <v>52</v>
      </c>
      <c r="O248" t="s">
        <v>40</v>
      </c>
      <c r="P248">
        <v>22</v>
      </c>
      <c r="Q248" t="s">
        <v>9</v>
      </c>
      <c r="R248" t="s">
        <v>9</v>
      </c>
      <c r="S248" t="s">
        <v>9</v>
      </c>
      <c r="T248" s="2">
        <v>42826</v>
      </c>
      <c r="U248">
        <v>3</v>
      </c>
      <c r="V248">
        <f t="shared" ca="1" si="3"/>
        <v>0.47389912085718799</v>
      </c>
    </row>
    <row r="249" spans="1:22">
      <c r="A249">
        <v>248</v>
      </c>
      <c r="B249" t="s">
        <v>1</v>
      </c>
      <c r="C249" t="s">
        <v>57</v>
      </c>
      <c r="D249" t="s">
        <v>52</v>
      </c>
      <c r="E249">
        <v>2</v>
      </c>
      <c r="F249" t="s">
        <v>53</v>
      </c>
      <c r="G249" t="s">
        <v>50</v>
      </c>
      <c r="H249" t="s">
        <v>5</v>
      </c>
      <c r="I249" t="s">
        <v>5</v>
      </c>
      <c r="J249" s="1" t="s">
        <v>39</v>
      </c>
      <c r="K249" t="s">
        <v>39</v>
      </c>
      <c r="L249">
        <v>1</v>
      </c>
      <c r="M249" t="e">
        <f>IF(D249="Y","",IF(N249="Y",INDEX(#REF!,MATCH(C249,#REF!,0)),C249))</f>
        <v>#REF!</v>
      </c>
      <c r="N249" t="s">
        <v>50</v>
      </c>
      <c r="O249" t="s">
        <v>41</v>
      </c>
      <c r="P249">
        <v>30</v>
      </c>
      <c r="Q249" t="s">
        <v>11</v>
      </c>
      <c r="R249" t="s">
        <v>45</v>
      </c>
      <c r="S249" t="s">
        <v>45</v>
      </c>
      <c r="T249" s="2">
        <v>41000</v>
      </c>
      <c r="U249">
        <v>8</v>
      </c>
      <c r="V249">
        <f t="shared" ca="1" si="3"/>
        <v>0.1398944033649977</v>
      </c>
    </row>
    <row r="250" spans="1:22">
      <c r="A250">
        <v>249</v>
      </c>
      <c r="B250" t="s">
        <v>1</v>
      </c>
      <c r="C250" t="s">
        <v>56</v>
      </c>
      <c r="D250" t="s">
        <v>52</v>
      </c>
      <c r="E250">
        <v>2</v>
      </c>
      <c r="F250" t="s">
        <v>53</v>
      </c>
      <c r="G250" t="s">
        <v>50</v>
      </c>
      <c r="H250" t="s">
        <v>5</v>
      </c>
      <c r="I250" t="s">
        <v>5</v>
      </c>
      <c r="J250" s="1" t="s">
        <v>39</v>
      </c>
      <c r="K250" t="s">
        <v>39</v>
      </c>
      <c r="L250">
        <v>2</v>
      </c>
      <c r="M250" t="str">
        <f>IF(D250="Y","",IF(N250="Y",INDEX(#REF!,MATCH(C250,#REF!,0)),C250))</f>
        <v>6 - Junior Officer</v>
      </c>
      <c r="N250" t="s">
        <v>52</v>
      </c>
      <c r="O250" t="s">
        <v>40</v>
      </c>
      <c r="P250">
        <v>21</v>
      </c>
      <c r="Q250" t="s">
        <v>9</v>
      </c>
      <c r="R250" t="s">
        <v>9</v>
      </c>
      <c r="S250" t="s">
        <v>9</v>
      </c>
      <c r="T250" s="2">
        <v>43191</v>
      </c>
      <c r="U250">
        <v>2</v>
      </c>
      <c r="V250">
        <f t="shared" ca="1" si="3"/>
        <v>0.48885259145396387</v>
      </c>
    </row>
    <row r="251" spans="1:22">
      <c r="A251">
        <v>250</v>
      </c>
      <c r="B251" t="s">
        <v>1</v>
      </c>
      <c r="C251" s="3" t="s">
        <v>56</v>
      </c>
      <c r="D251" t="s">
        <v>52</v>
      </c>
      <c r="E251">
        <v>2</v>
      </c>
      <c r="F251" t="s">
        <v>51</v>
      </c>
      <c r="G251" t="s">
        <v>50</v>
      </c>
      <c r="H251" t="s">
        <v>5</v>
      </c>
      <c r="I251" t="s">
        <v>5</v>
      </c>
      <c r="J251" s="1" t="s">
        <v>39</v>
      </c>
      <c r="K251" t="s">
        <v>39</v>
      </c>
      <c r="L251">
        <v>5</v>
      </c>
      <c r="M251" t="str">
        <f>IF(D251="Y","",IF(N251="Y",INDEX(#REF!,MATCH(C251,#REF!,0)),C251))</f>
        <v>6 - Junior Officer</v>
      </c>
      <c r="N251" t="s">
        <v>52</v>
      </c>
      <c r="O251" t="s">
        <v>40</v>
      </c>
      <c r="P251">
        <v>24</v>
      </c>
      <c r="Q251" t="s">
        <v>9</v>
      </c>
      <c r="R251" t="s">
        <v>9</v>
      </c>
      <c r="S251" t="s">
        <v>9</v>
      </c>
      <c r="T251" s="2">
        <v>42095</v>
      </c>
      <c r="U251">
        <v>5</v>
      </c>
      <c r="V251">
        <f t="shared" ca="1" si="3"/>
        <v>0.6254502900335569</v>
      </c>
    </row>
    <row r="252" spans="1:22">
      <c r="A252">
        <v>251</v>
      </c>
      <c r="B252" t="s">
        <v>1</v>
      </c>
      <c r="C252" t="s">
        <v>56</v>
      </c>
      <c r="D252" t="s">
        <v>52</v>
      </c>
      <c r="E252">
        <v>2</v>
      </c>
      <c r="F252" t="s">
        <v>53</v>
      </c>
      <c r="G252" t="s">
        <v>50</v>
      </c>
      <c r="H252" t="s">
        <v>7</v>
      </c>
      <c r="I252" t="s">
        <v>7</v>
      </c>
      <c r="J252" s="1" t="s">
        <v>39</v>
      </c>
      <c r="K252" t="s">
        <v>39</v>
      </c>
      <c r="L252">
        <v>1</v>
      </c>
      <c r="M252" t="str">
        <f>IF(D252="Y","",IF(N252="Y",INDEX(#REF!,MATCH(C252,#REF!,0)),C252))</f>
        <v>6 - Junior Officer</v>
      </c>
      <c r="N252" t="s">
        <v>52</v>
      </c>
      <c r="O252" t="s">
        <v>40</v>
      </c>
      <c r="P252">
        <v>29</v>
      </c>
      <c r="Q252" t="s">
        <v>9</v>
      </c>
      <c r="R252" t="s">
        <v>9</v>
      </c>
      <c r="S252" t="s">
        <v>9</v>
      </c>
      <c r="T252" s="2">
        <v>43556</v>
      </c>
      <c r="U252">
        <v>1</v>
      </c>
      <c r="V252">
        <f t="shared" ca="1" si="3"/>
        <v>0.56066495729372279</v>
      </c>
    </row>
    <row r="253" spans="1:22">
      <c r="A253">
        <v>252</v>
      </c>
      <c r="B253" t="s">
        <v>0</v>
      </c>
      <c r="C253" t="s">
        <v>56</v>
      </c>
      <c r="D253" t="s">
        <v>52</v>
      </c>
      <c r="E253">
        <v>2</v>
      </c>
      <c r="F253" t="s">
        <v>53</v>
      </c>
      <c r="G253" t="s">
        <v>50</v>
      </c>
      <c r="H253" t="s">
        <v>5</v>
      </c>
      <c r="I253" t="s">
        <v>5</v>
      </c>
      <c r="J253" s="1" t="s">
        <v>39</v>
      </c>
      <c r="K253" t="s">
        <v>39</v>
      </c>
      <c r="L253">
        <v>2</v>
      </c>
      <c r="M253" t="str">
        <f>IF(D253="Y","",IF(N253="Y",INDEX(#REF!,MATCH(C253,#REF!,0)),C253))</f>
        <v>6 - Junior Officer</v>
      </c>
      <c r="N253" t="s">
        <v>52</v>
      </c>
      <c r="O253" t="s">
        <v>40</v>
      </c>
      <c r="P253">
        <v>27</v>
      </c>
      <c r="Q253" t="s">
        <v>9</v>
      </c>
      <c r="R253" t="s">
        <v>9</v>
      </c>
      <c r="S253" t="s">
        <v>9</v>
      </c>
      <c r="T253" s="2">
        <v>43191</v>
      </c>
      <c r="U253">
        <v>2</v>
      </c>
      <c r="V253">
        <f t="shared" ca="1" si="3"/>
        <v>0.88212308673063433</v>
      </c>
    </row>
    <row r="254" spans="1:22">
      <c r="A254">
        <v>253</v>
      </c>
      <c r="B254" t="s">
        <v>1</v>
      </c>
      <c r="C254" t="s">
        <v>56</v>
      </c>
      <c r="D254" t="s">
        <v>52</v>
      </c>
      <c r="E254">
        <v>4</v>
      </c>
      <c r="F254" t="s">
        <v>53</v>
      </c>
      <c r="G254" t="s">
        <v>50</v>
      </c>
      <c r="H254" t="s">
        <v>3</v>
      </c>
      <c r="I254" t="s">
        <v>3</v>
      </c>
      <c r="J254" s="1" t="s">
        <v>39</v>
      </c>
      <c r="K254" t="s">
        <v>39</v>
      </c>
      <c r="L254">
        <v>5</v>
      </c>
      <c r="M254" t="str">
        <f>IF(D254="Y","",IF(N254="Y",INDEX(#REF!,MATCH(C254,#REF!,0)),C254))</f>
        <v>6 - Junior Officer</v>
      </c>
      <c r="N254" t="s">
        <v>52</v>
      </c>
      <c r="O254" t="s">
        <v>40</v>
      </c>
      <c r="P254">
        <v>26</v>
      </c>
      <c r="Q254" t="s">
        <v>9</v>
      </c>
      <c r="R254" t="s">
        <v>9</v>
      </c>
      <c r="S254" t="s">
        <v>9</v>
      </c>
      <c r="T254" s="2">
        <v>42095</v>
      </c>
      <c r="U254">
        <v>5</v>
      </c>
      <c r="V254">
        <f t="shared" ca="1" si="3"/>
        <v>0.23465712321365362</v>
      </c>
    </row>
    <row r="255" spans="1:22">
      <c r="A255">
        <v>254</v>
      </c>
      <c r="B255" t="s">
        <v>0</v>
      </c>
      <c r="C255" t="s">
        <v>56</v>
      </c>
      <c r="D255" t="s">
        <v>52</v>
      </c>
      <c r="E255">
        <v>2</v>
      </c>
      <c r="F255" t="s">
        <v>53</v>
      </c>
      <c r="G255" t="s">
        <v>50</v>
      </c>
      <c r="H255" t="s">
        <v>6</v>
      </c>
      <c r="I255" t="s">
        <v>6</v>
      </c>
      <c r="J255" s="1" t="s">
        <v>39</v>
      </c>
      <c r="K255" t="s">
        <v>39</v>
      </c>
      <c r="L255">
        <v>2</v>
      </c>
      <c r="M255" t="str">
        <f>IF(D255="Y","",IF(N255="Y",INDEX(#REF!,MATCH(C255,#REF!,0)),C255))</f>
        <v>6 - Junior Officer</v>
      </c>
      <c r="N255" t="s">
        <v>52</v>
      </c>
      <c r="O255" t="s">
        <v>40</v>
      </c>
      <c r="P255">
        <v>23</v>
      </c>
      <c r="Q255" t="s">
        <v>9</v>
      </c>
      <c r="R255" t="s">
        <v>9</v>
      </c>
      <c r="S255" t="s">
        <v>9</v>
      </c>
      <c r="T255" s="2">
        <v>43191</v>
      </c>
      <c r="U255">
        <v>2</v>
      </c>
      <c r="V255">
        <f t="shared" ca="1" si="3"/>
        <v>0.74282833522318348</v>
      </c>
    </row>
    <row r="256" spans="1:22">
      <c r="A256">
        <v>255</v>
      </c>
      <c r="B256" t="s">
        <v>1</v>
      </c>
      <c r="C256" t="s">
        <v>56</v>
      </c>
      <c r="D256" t="s">
        <v>52</v>
      </c>
      <c r="E256">
        <v>3</v>
      </c>
      <c r="F256" t="s">
        <v>53</v>
      </c>
      <c r="G256" t="s">
        <v>50</v>
      </c>
      <c r="H256" t="s">
        <v>5</v>
      </c>
      <c r="I256" t="s">
        <v>5</v>
      </c>
      <c r="J256" s="1" t="s">
        <v>39</v>
      </c>
      <c r="K256" t="s">
        <v>39</v>
      </c>
      <c r="L256">
        <v>1</v>
      </c>
      <c r="M256" t="str">
        <f>IF(D256="Y","",IF(N256="Y",INDEX(#REF!,MATCH(C256,#REF!,0)),C256))</f>
        <v>6 - Junior Officer</v>
      </c>
      <c r="N256" t="s">
        <v>52</v>
      </c>
      <c r="O256" t="s">
        <v>40</v>
      </c>
      <c r="P256">
        <v>26</v>
      </c>
      <c r="Q256" t="s">
        <v>9</v>
      </c>
      <c r="R256" t="s">
        <v>9</v>
      </c>
      <c r="S256" t="s">
        <v>9</v>
      </c>
      <c r="T256" s="2">
        <v>43556</v>
      </c>
      <c r="U256">
        <v>1</v>
      </c>
      <c r="V256">
        <f t="shared" ca="1" si="3"/>
        <v>0.5844031905812247</v>
      </c>
    </row>
    <row r="257" spans="1:22">
      <c r="A257">
        <v>256</v>
      </c>
      <c r="B257" t="s">
        <v>0</v>
      </c>
      <c r="C257" t="s">
        <v>61</v>
      </c>
      <c r="D257" t="s">
        <v>52</v>
      </c>
      <c r="E257">
        <v>3</v>
      </c>
      <c r="F257" t="s">
        <v>53</v>
      </c>
      <c r="G257" t="s">
        <v>50</v>
      </c>
      <c r="H257" t="s">
        <v>5</v>
      </c>
      <c r="I257" t="s">
        <v>5</v>
      </c>
      <c r="J257" s="1" t="s">
        <v>39</v>
      </c>
      <c r="K257" t="s">
        <v>39</v>
      </c>
      <c r="L257">
        <v>3</v>
      </c>
      <c r="M257" t="str">
        <f>IF(D257="Y","",IF(N257="Y",INDEX(#REF!,MATCH(C257,#REF!,0)),C257))</f>
        <v>5 - Senior Officer</v>
      </c>
      <c r="N257" t="s">
        <v>52</v>
      </c>
      <c r="O257" t="s">
        <v>40</v>
      </c>
      <c r="P257">
        <v>29</v>
      </c>
      <c r="Q257" t="s">
        <v>19</v>
      </c>
      <c r="R257" t="s">
        <v>45</v>
      </c>
      <c r="S257" t="s">
        <v>45</v>
      </c>
      <c r="T257" s="2">
        <v>42095</v>
      </c>
      <c r="U257">
        <v>5</v>
      </c>
      <c r="V257">
        <f t="shared" ca="1" si="3"/>
        <v>0.45494988769488687</v>
      </c>
    </row>
    <row r="258" spans="1:22">
      <c r="A258">
        <v>257</v>
      </c>
      <c r="B258" t="s">
        <v>1</v>
      </c>
      <c r="C258" t="s">
        <v>60</v>
      </c>
      <c r="D258" t="s">
        <v>52</v>
      </c>
      <c r="F258" t="s">
        <v>53</v>
      </c>
      <c r="G258" t="s">
        <v>50</v>
      </c>
      <c r="H258" t="s">
        <v>8</v>
      </c>
      <c r="I258" t="s">
        <v>8</v>
      </c>
      <c r="J258" s="1" t="s">
        <v>39</v>
      </c>
      <c r="K258" t="s">
        <v>39</v>
      </c>
      <c r="L258">
        <v>3</v>
      </c>
      <c r="M258" t="str">
        <f>IF(D258="Y","",IF(N258="Y",INDEX(#REF!,MATCH(C258,#REF!,0)),C258))</f>
        <v>1 - Executive</v>
      </c>
      <c r="N258" t="s">
        <v>52</v>
      </c>
      <c r="O258" t="s">
        <v>42</v>
      </c>
      <c r="P258">
        <v>43</v>
      </c>
      <c r="Q258" t="s">
        <v>9</v>
      </c>
      <c r="R258" t="s">
        <v>9</v>
      </c>
      <c r="S258" t="s">
        <v>9</v>
      </c>
      <c r="T258" s="2">
        <v>40634</v>
      </c>
      <c r="U258">
        <v>9</v>
      </c>
      <c r="V258">
        <f t="shared" ref="V258:V321" ca="1" si="4">RAND()</f>
        <v>0.92782562698188831</v>
      </c>
    </row>
    <row r="259" spans="1:22">
      <c r="A259">
        <v>258</v>
      </c>
      <c r="B259" t="s">
        <v>1</v>
      </c>
      <c r="C259" t="s">
        <v>56</v>
      </c>
      <c r="D259" t="s">
        <v>52</v>
      </c>
      <c r="E259">
        <v>3</v>
      </c>
      <c r="F259" t="s">
        <v>53</v>
      </c>
      <c r="G259" t="s">
        <v>50</v>
      </c>
      <c r="H259" t="s">
        <v>5</v>
      </c>
      <c r="I259" t="s">
        <v>5</v>
      </c>
      <c r="J259" s="1" t="s">
        <v>39</v>
      </c>
      <c r="K259" t="s">
        <v>39</v>
      </c>
      <c r="L259">
        <v>2</v>
      </c>
      <c r="M259" t="str">
        <f>IF(D259="Y","",IF(N259="Y",INDEX(#REF!,MATCH(C259,#REF!,0)),C259))</f>
        <v>6 - Junior Officer</v>
      </c>
      <c r="N259" t="s">
        <v>52</v>
      </c>
      <c r="O259" t="s">
        <v>40</v>
      </c>
      <c r="P259">
        <v>26</v>
      </c>
      <c r="Q259" t="s">
        <v>20</v>
      </c>
      <c r="R259" t="s">
        <v>45</v>
      </c>
      <c r="S259" t="s">
        <v>45</v>
      </c>
      <c r="T259" s="2">
        <v>43191</v>
      </c>
      <c r="U259">
        <v>2</v>
      </c>
      <c r="V259">
        <f t="shared" ca="1" si="4"/>
        <v>0.28090739155832123</v>
      </c>
    </row>
    <row r="260" spans="1:22">
      <c r="A260">
        <v>259</v>
      </c>
      <c r="B260" t="s">
        <v>0</v>
      </c>
      <c r="C260" t="s">
        <v>56</v>
      </c>
      <c r="D260" t="s">
        <v>52</v>
      </c>
      <c r="E260">
        <v>3</v>
      </c>
      <c r="F260" t="s">
        <v>53</v>
      </c>
      <c r="G260" t="s">
        <v>50</v>
      </c>
      <c r="H260" t="s">
        <v>4</v>
      </c>
      <c r="I260" t="s">
        <v>4</v>
      </c>
      <c r="J260" s="1" t="s">
        <v>39</v>
      </c>
      <c r="K260" t="s">
        <v>39</v>
      </c>
      <c r="L260">
        <v>3</v>
      </c>
      <c r="M260" t="str">
        <f>IF(D260="Y","",IF(N260="Y",INDEX(#REF!,MATCH(C260,#REF!,0)),C260))</f>
        <v>6 - Junior Officer</v>
      </c>
      <c r="N260" t="s">
        <v>52</v>
      </c>
      <c r="O260" t="s">
        <v>40</v>
      </c>
      <c r="P260">
        <v>23</v>
      </c>
      <c r="Q260" t="s">
        <v>9</v>
      </c>
      <c r="R260" t="s">
        <v>9</v>
      </c>
      <c r="S260" t="s">
        <v>9</v>
      </c>
      <c r="T260" s="2">
        <v>42826</v>
      </c>
      <c r="U260">
        <v>3</v>
      </c>
      <c r="V260">
        <f t="shared" ca="1" si="4"/>
        <v>0.33826397691753773</v>
      </c>
    </row>
    <row r="261" spans="1:22">
      <c r="A261">
        <v>260</v>
      </c>
      <c r="B261" t="s">
        <v>1</v>
      </c>
      <c r="C261" t="s">
        <v>61</v>
      </c>
      <c r="D261" t="s">
        <v>52</v>
      </c>
      <c r="E261">
        <v>3</v>
      </c>
      <c r="F261" t="s">
        <v>53</v>
      </c>
      <c r="G261" t="s">
        <v>50</v>
      </c>
      <c r="H261" t="s">
        <v>7</v>
      </c>
      <c r="I261" t="s">
        <v>7</v>
      </c>
      <c r="J261" s="1" t="s">
        <v>39</v>
      </c>
      <c r="K261" t="s">
        <v>39</v>
      </c>
      <c r="L261">
        <v>2</v>
      </c>
      <c r="M261" t="str">
        <f>IF(D261="Y","",IF(N261="Y",INDEX(#REF!,MATCH(C261,#REF!,0)),C261))</f>
        <v>5 - Senior Officer</v>
      </c>
      <c r="N261" t="s">
        <v>52</v>
      </c>
      <c r="O261" t="s">
        <v>40</v>
      </c>
      <c r="P261">
        <v>28</v>
      </c>
      <c r="Q261" t="s">
        <v>9</v>
      </c>
      <c r="R261" t="s">
        <v>9</v>
      </c>
      <c r="S261" t="s">
        <v>9</v>
      </c>
      <c r="T261" s="2">
        <v>42095</v>
      </c>
      <c r="U261">
        <v>5</v>
      </c>
      <c r="V261">
        <f t="shared" ca="1" si="4"/>
        <v>0.85954692491140239</v>
      </c>
    </row>
    <row r="262" spans="1:22">
      <c r="A262">
        <v>261</v>
      </c>
      <c r="B262" t="s">
        <v>0</v>
      </c>
      <c r="C262" t="s">
        <v>57</v>
      </c>
      <c r="D262" t="s">
        <v>52</v>
      </c>
      <c r="E262">
        <v>2</v>
      </c>
      <c r="F262" t="s">
        <v>53</v>
      </c>
      <c r="G262" t="s">
        <v>50</v>
      </c>
      <c r="H262" t="s">
        <v>4</v>
      </c>
      <c r="I262" t="s">
        <v>4</v>
      </c>
      <c r="J262" s="1" t="s">
        <v>39</v>
      </c>
      <c r="K262" t="s">
        <v>39</v>
      </c>
      <c r="L262">
        <v>7</v>
      </c>
      <c r="M262" t="str">
        <f>IF(D262="Y","",IF(N262="Y",INDEX(#REF!,MATCH(C262,#REF!,0)),C262))</f>
        <v>4 - Manager</v>
      </c>
      <c r="N262" t="s">
        <v>52</v>
      </c>
      <c r="O262" t="s">
        <v>41</v>
      </c>
      <c r="P262">
        <v>39</v>
      </c>
      <c r="Q262" t="s">
        <v>20</v>
      </c>
      <c r="R262" t="s">
        <v>45</v>
      </c>
      <c r="S262" t="s">
        <v>45</v>
      </c>
      <c r="T262" s="2">
        <v>41365</v>
      </c>
      <c r="U262">
        <v>7</v>
      </c>
      <c r="V262">
        <f t="shared" ca="1" si="4"/>
        <v>0.57244400694504605</v>
      </c>
    </row>
    <row r="263" spans="1:22">
      <c r="A263">
        <v>262</v>
      </c>
      <c r="B263" t="s">
        <v>1</v>
      </c>
      <c r="C263" t="s">
        <v>59</v>
      </c>
      <c r="D263" t="s">
        <v>52</v>
      </c>
      <c r="E263">
        <v>2</v>
      </c>
      <c r="F263" t="s">
        <v>53</v>
      </c>
      <c r="G263" t="s">
        <v>50</v>
      </c>
      <c r="H263" t="s">
        <v>3</v>
      </c>
      <c r="I263" t="s">
        <v>3</v>
      </c>
      <c r="J263" s="1" t="s">
        <v>39</v>
      </c>
      <c r="K263" t="s">
        <v>39</v>
      </c>
      <c r="L263">
        <v>1</v>
      </c>
      <c r="M263" t="e">
        <f>IF(D263="Y","",IF(N263="Y",INDEX(#REF!,MATCH(C263,#REF!,0)),C263))</f>
        <v>#REF!</v>
      </c>
      <c r="N263" t="s">
        <v>50</v>
      </c>
      <c r="O263" t="s">
        <v>42</v>
      </c>
      <c r="P263">
        <v>41</v>
      </c>
      <c r="Q263" t="s">
        <v>9</v>
      </c>
      <c r="R263" t="s">
        <v>9</v>
      </c>
      <c r="S263" t="s">
        <v>9</v>
      </c>
      <c r="T263" s="2">
        <v>42095</v>
      </c>
      <c r="U263">
        <v>5</v>
      </c>
      <c r="V263">
        <f t="shared" ca="1" si="4"/>
        <v>0.53375065933928922</v>
      </c>
    </row>
    <row r="264" spans="1:22">
      <c r="A264">
        <v>263</v>
      </c>
      <c r="B264" t="s">
        <v>1</v>
      </c>
      <c r="C264" t="s">
        <v>61</v>
      </c>
      <c r="D264" t="s">
        <v>50</v>
      </c>
      <c r="F264" t="s">
        <v>53</v>
      </c>
      <c r="G264" t="s">
        <v>52</v>
      </c>
      <c r="H264" t="s">
        <v>5</v>
      </c>
      <c r="I264" t="s">
        <v>5</v>
      </c>
      <c r="J264" s="1" t="s">
        <v>39</v>
      </c>
      <c r="K264" t="s">
        <v>39</v>
      </c>
      <c r="L264">
        <v>0</v>
      </c>
      <c r="M264" t="str">
        <f>IF(D264="Y","",IF(N264="Y",INDEX(#REF!,MATCH(C264,#REF!,0)),C264))</f>
        <v/>
      </c>
      <c r="N264" t="s">
        <v>52</v>
      </c>
      <c r="O264" t="s">
        <v>40</v>
      </c>
      <c r="P264">
        <v>27</v>
      </c>
      <c r="Q264" t="s">
        <v>28</v>
      </c>
      <c r="R264" t="s">
        <v>45</v>
      </c>
      <c r="S264" t="s">
        <v>45</v>
      </c>
      <c r="T264" s="2">
        <v>43922</v>
      </c>
      <c r="U264">
        <v>0</v>
      </c>
      <c r="V264">
        <f t="shared" ca="1" si="4"/>
        <v>0.75041704212304017</v>
      </c>
    </row>
    <row r="265" spans="1:22">
      <c r="A265">
        <v>264</v>
      </c>
      <c r="B265" t="s">
        <v>1</v>
      </c>
      <c r="C265" t="s">
        <v>56</v>
      </c>
      <c r="D265" t="s">
        <v>52</v>
      </c>
      <c r="E265">
        <v>2</v>
      </c>
      <c r="F265" t="s">
        <v>53</v>
      </c>
      <c r="G265" t="s">
        <v>50</v>
      </c>
      <c r="H265" t="s">
        <v>5</v>
      </c>
      <c r="I265" t="s">
        <v>5</v>
      </c>
      <c r="J265" s="1" t="s">
        <v>39</v>
      </c>
      <c r="K265" t="s">
        <v>39</v>
      </c>
      <c r="L265">
        <v>1</v>
      </c>
      <c r="M265" t="str">
        <f>IF(D265="Y","",IF(N265="Y",INDEX(#REF!,MATCH(C265,#REF!,0)),C265))</f>
        <v>6 - Junior Officer</v>
      </c>
      <c r="N265" t="s">
        <v>52</v>
      </c>
      <c r="O265" t="s">
        <v>40</v>
      </c>
      <c r="P265">
        <v>28</v>
      </c>
      <c r="Q265" t="s">
        <v>20</v>
      </c>
      <c r="R265" t="s">
        <v>45</v>
      </c>
      <c r="S265" t="s">
        <v>45</v>
      </c>
      <c r="T265" s="2">
        <v>43556</v>
      </c>
      <c r="U265">
        <v>1</v>
      </c>
      <c r="V265">
        <f t="shared" ca="1" si="4"/>
        <v>0.46787934483155558</v>
      </c>
    </row>
    <row r="266" spans="1:22">
      <c r="A266">
        <v>265</v>
      </c>
      <c r="B266" t="s">
        <v>0</v>
      </c>
      <c r="C266" t="s">
        <v>57</v>
      </c>
      <c r="D266" t="s">
        <v>52</v>
      </c>
      <c r="E266">
        <v>2</v>
      </c>
      <c r="F266" t="s">
        <v>53</v>
      </c>
      <c r="G266" t="s">
        <v>50</v>
      </c>
      <c r="H266" t="s">
        <v>5</v>
      </c>
      <c r="I266" t="s">
        <v>5</v>
      </c>
      <c r="J266" s="1" t="s">
        <v>39</v>
      </c>
      <c r="K266" t="s">
        <v>39</v>
      </c>
      <c r="L266">
        <v>2</v>
      </c>
      <c r="M266" t="str">
        <f>IF(D266="Y","",IF(N266="Y",INDEX(#REF!,MATCH(C266,#REF!,0)),C266))</f>
        <v>4 - Manager</v>
      </c>
      <c r="N266" t="s">
        <v>52</v>
      </c>
      <c r="O266" t="s">
        <v>42</v>
      </c>
      <c r="P266">
        <v>41</v>
      </c>
      <c r="Q266" t="s">
        <v>9</v>
      </c>
      <c r="R266" t="s">
        <v>9</v>
      </c>
      <c r="S266" t="s">
        <v>9</v>
      </c>
      <c r="T266" s="2">
        <v>41000</v>
      </c>
      <c r="U266">
        <v>8</v>
      </c>
      <c r="V266">
        <f t="shared" ca="1" si="4"/>
        <v>0.34417566165301927</v>
      </c>
    </row>
    <row r="267" spans="1:22">
      <c r="A267">
        <v>266</v>
      </c>
      <c r="B267" t="s">
        <v>0</v>
      </c>
      <c r="C267" t="s">
        <v>61</v>
      </c>
      <c r="D267" t="s">
        <v>52</v>
      </c>
      <c r="E267">
        <v>3</v>
      </c>
      <c r="F267" t="s">
        <v>53</v>
      </c>
      <c r="G267" t="s">
        <v>50</v>
      </c>
      <c r="H267" t="s">
        <v>5</v>
      </c>
      <c r="I267" t="s">
        <v>5</v>
      </c>
      <c r="J267" s="1">
        <v>0.8</v>
      </c>
      <c r="K267" t="s">
        <v>38</v>
      </c>
      <c r="L267">
        <v>2</v>
      </c>
      <c r="M267" t="str">
        <f>IF(D267="Y","",IF(N267="Y",INDEX(#REF!,MATCH(C267,#REF!,0)),C267))</f>
        <v>5 - Senior Officer</v>
      </c>
      <c r="N267" t="s">
        <v>52</v>
      </c>
      <c r="O267" t="s">
        <v>41</v>
      </c>
      <c r="P267">
        <v>32</v>
      </c>
      <c r="Q267" t="s">
        <v>9</v>
      </c>
      <c r="R267" t="s">
        <v>9</v>
      </c>
      <c r="S267" t="s">
        <v>9</v>
      </c>
      <c r="T267" s="2">
        <v>43191</v>
      </c>
      <c r="U267">
        <v>2</v>
      </c>
      <c r="V267">
        <f t="shared" ca="1" si="4"/>
        <v>0.82497237055590467</v>
      </c>
    </row>
    <row r="268" spans="1:22">
      <c r="A268">
        <v>267</v>
      </c>
      <c r="B268" t="s">
        <v>0</v>
      </c>
      <c r="C268" t="s">
        <v>61</v>
      </c>
      <c r="D268" t="s">
        <v>52</v>
      </c>
      <c r="E268">
        <v>2</v>
      </c>
      <c r="F268" t="s">
        <v>53</v>
      </c>
      <c r="G268" t="s">
        <v>50</v>
      </c>
      <c r="H268" t="s">
        <v>3</v>
      </c>
      <c r="I268" t="s">
        <v>3</v>
      </c>
      <c r="J268" s="1" t="s">
        <v>39</v>
      </c>
      <c r="K268" t="s">
        <v>39</v>
      </c>
      <c r="L268">
        <v>1</v>
      </c>
      <c r="M268" t="e">
        <f>IF(D268="Y","",IF(N268="Y",INDEX(#REF!,MATCH(C268,#REF!,0)),C268))</f>
        <v>#REF!</v>
      </c>
      <c r="N268" t="s">
        <v>50</v>
      </c>
      <c r="O268" t="s">
        <v>40</v>
      </c>
      <c r="P268">
        <v>29</v>
      </c>
      <c r="Q268" t="s">
        <v>9</v>
      </c>
      <c r="R268" t="s">
        <v>9</v>
      </c>
      <c r="S268" t="s">
        <v>9</v>
      </c>
      <c r="T268" s="2">
        <v>42826</v>
      </c>
      <c r="U268">
        <v>3</v>
      </c>
      <c r="V268">
        <f t="shared" ca="1" si="4"/>
        <v>0.83021568963261494</v>
      </c>
    </row>
    <row r="269" spans="1:22">
      <c r="A269">
        <v>268</v>
      </c>
      <c r="B269" t="s">
        <v>0</v>
      </c>
      <c r="C269" t="s">
        <v>56</v>
      </c>
      <c r="D269" t="s">
        <v>52</v>
      </c>
      <c r="E269">
        <v>3</v>
      </c>
      <c r="F269" t="s">
        <v>53</v>
      </c>
      <c r="G269" t="s">
        <v>50</v>
      </c>
      <c r="H269" t="s">
        <v>5</v>
      </c>
      <c r="I269" t="s">
        <v>5</v>
      </c>
      <c r="J269" s="1" t="s">
        <v>39</v>
      </c>
      <c r="K269" t="s">
        <v>39</v>
      </c>
      <c r="L269">
        <v>3</v>
      </c>
      <c r="M269" t="str">
        <f>IF(D269="Y","",IF(N269="Y",INDEX(#REF!,MATCH(C269,#REF!,0)),C269))</f>
        <v>6 - Junior Officer</v>
      </c>
      <c r="N269" t="s">
        <v>52</v>
      </c>
      <c r="O269" t="s">
        <v>40</v>
      </c>
      <c r="P269">
        <v>23</v>
      </c>
      <c r="Q269" t="s">
        <v>20</v>
      </c>
      <c r="R269" t="s">
        <v>45</v>
      </c>
      <c r="S269" t="s">
        <v>45</v>
      </c>
      <c r="T269" s="2">
        <v>42826</v>
      </c>
      <c r="U269">
        <v>3</v>
      </c>
      <c r="V269">
        <f t="shared" ca="1" si="4"/>
        <v>0.85254216019428497</v>
      </c>
    </row>
    <row r="270" spans="1:22">
      <c r="A270">
        <v>269</v>
      </c>
      <c r="B270" t="s">
        <v>1</v>
      </c>
      <c r="C270" t="s">
        <v>61</v>
      </c>
      <c r="D270" t="s">
        <v>52</v>
      </c>
      <c r="E270">
        <v>3</v>
      </c>
      <c r="F270" t="s">
        <v>53</v>
      </c>
      <c r="G270" t="s">
        <v>50</v>
      </c>
      <c r="H270" t="s">
        <v>8</v>
      </c>
      <c r="I270" t="s">
        <v>8</v>
      </c>
      <c r="J270" s="1" t="s">
        <v>39</v>
      </c>
      <c r="K270" t="s">
        <v>39</v>
      </c>
      <c r="L270">
        <v>3</v>
      </c>
      <c r="M270" t="str">
        <f>IF(D270="Y","",IF(N270="Y",INDEX(#REF!,MATCH(C270,#REF!,0)),C270))</f>
        <v>5 - Senior Officer</v>
      </c>
      <c r="N270" t="s">
        <v>52</v>
      </c>
      <c r="O270" t="s">
        <v>41</v>
      </c>
      <c r="P270">
        <v>36</v>
      </c>
      <c r="Q270" t="s">
        <v>9</v>
      </c>
      <c r="R270" t="s">
        <v>9</v>
      </c>
      <c r="S270" t="s">
        <v>9</v>
      </c>
      <c r="T270" s="2">
        <v>42826</v>
      </c>
      <c r="U270">
        <v>3</v>
      </c>
      <c r="V270">
        <f t="shared" ca="1" si="4"/>
        <v>0.7719164729853194</v>
      </c>
    </row>
    <row r="271" spans="1:22">
      <c r="A271">
        <v>270</v>
      </c>
      <c r="B271" t="s">
        <v>0</v>
      </c>
      <c r="C271" t="s">
        <v>56</v>
      </c>
      <c r="D271" t="s">
        <v>52</v>
      </c>
      <c r="E271">
        <v>2</v>
      </c>
      <c r="F271" t="s">
        <v>53</v>
      </c>
      <c r="G271" t="s">
        <v>50</v>
      </c>
      <c r="H271" t="s">
        <v>5</v>
      </c>
      <c r="I271" t="s">
        <v>5</v>
      </c>
      <c r="J271" s="1" t="s">
        <v>39</v>
      </c>
      <c r="K271" t="s">
        <v>39</v>
      </c>
      <c r="L271">
        <v>5</v>
      </c>
      <c r="M271" t="str">
        <f>IF(D271="Y","",IF(N271="Y",INDEX(#REF!,MATCH(C271,#REF!,0)),C271))</f>
        <v>6 - Junior Officer</v>
      </c>
      <c r="N271" t="s">
        <v>52</v>
      </c>
      <c r="O271" t="s">
        <v>40</v>
      </c>
      <c r="P271">
        <v>27</v>
      </c>
      <c r="Q271" t="s">
        <v>9</v>
      </c>
      <c r="R271" t="s">
        <v>9</v>
      </c>
      <c r="S271" t="s">
        <v>9</v>
      </c>
      <c r="T271" s="2">
        <v>42095</v>
      </c>
      <c r="U271">
        <v>5</v>
      </c>
      <c r="V271">
        <f t="shared" ca="1" si="4"/>
        <v>0.37206595650342944</v>
      </c>
    </row>
    <row r="272" spans="1:22">
      <c r="A272">
        <v>271</v>
      </c>
      <c r="B272" t="s">
        <v>0</v>
      </c>
      <c r="C272" t="s">
        <v>57</v>
      </c>
      <c r="D272" t="s">
        <v>52</v>
      </c>
      <c r="E272">
        <v>4</v>
      </c>
      <c r="F272" t="s">
        <v>53</v>
      </c>
      <c r="G272" t="s">
        <v>50</v>
      </c>
      <c r="H272" t="s">
        <v>7</v>
      </c>
      <c r="I272" t="s">
        <v>7</v>
      </c>
      <c r="J272" s="1" t="s">
        <v>39</v>
      </c>
      <c r="K272" t="s">
        <v>39</v>
      </c>
      <c r="L272">
        <v>3</v>
      </c>
      <c r="M272" t="str">
        <f>IF(D272="Y","",IF(N272="Y",INDEX(#REF!,MATCH(C272,#REF!,0)),C272))</f>
        <v>4 - Manager</v>
      </c>
      <c r="N272" t="s">
        <v>52</v>
      </c>
      <c r="O272" t="s">
        <v>42</v>
      </c>
      <c r="P272">
        <v>41</v>
      </c>
      <c r="Q272" t="s">
        <v>9</v>
      </c>
      <c r="R272" t="s">
        <v>9</v>
      </c>
      <c r="S272" t="s">
        <v>9</v>
      </c>
      <c r="T272" s="2">
        <v>40634</v>
      </c>
      <c r="U272">
        <v>9</v>
      </c>
      <c r="V272">
        <f t="shared" ca="1" si="4"/>
        <v>0.31023953815923833</v>
      </c>
    </row>
    <row r="273" spans="1:22">
      <c r="A273">
        <v>272</v>
      </c>
      <c r="B273" t="s">
        <v>0</v>
      </c>
      <c r="C273" t="s">
        <v>59</v>
      </c>
      <c r="D273" t="s">
        <v>50</v>
      </c>
      <c r="F273" t="s">
        <v>53</v>
      </c>
      <c r="G273" t="s">
        <v>52</v>
      </c>
      <c r="H273" t="s">
        <v>5</v>
      </c>
      <c r="I273" t="s">
        <v>5</v>
      </c>
      <c r="J273" s="1" t="s">
        <v>39</v>
      </c>
      <c r="K273" t="s">
        <v>39</v>
      </c>
      <c r="L273">
        <v>0</v>
      </c>
      <c r="M273" t="str">
        <f>IF(D273="Y","",IF(N273="Y",INDEX(#REF!,MATCH(C273,#REF!,0)),C273))</f>
        <v/>
      </c>
      <c r="N273" t="s">
        <v>52</v>
      </c>
      <c r="O273" t="s">
        <v>41</v>
      </c>
      <c r="P273">
        <v>39</v>
      </c>
      <c r="Q273" t="s">
        <v>9</v>
      </c>
      <c r="R273" t="s">
        <v>9</v>
      </c>
      <c r="S273" t="s">
        <v>9</v>
      </c>
      <c r="T273" s="2">
        <v>43922</v>
      </c>
      <c r="U273">
        <v>0</v>
      </c>
      <c r="V273">
        <f t="shared" ca="1" si="4"/>
        <v>0.76843848515883795</v>
      </c>
    </row>
    <row r="274" spans="1:22">
      <c r="A274">
        <v>273</v>
      </c>
      <c r="B274" t="s">
        <v>0</v>
      </c>
      <c r="C274" t="s">
        <v>56</v>
      </c>
      <c r="D274" t="s">
        <v>52</v>
      </c>
      <c r="E274">
        <v>3</v>
      </c>
      <c r="F274" t="s">
        <v>53</v>
      </c>
      <c r="G274" t="s">
        <v>50</v>
      </c>
      <c r="H274" t="s">
        <v>6</v>
      </c>
      <c r="I274" t="s">
        <v>6</v>
      </c>
      <c r="J274" s="1" t="s">
        <v>39</v>
      </c>
      <c r="K274" t="s">
        <v>39</v>
      </c>
      <c r="L274">
        <v>4</v>
      </c>
      <c r="M274" t="str">
        <f>IF(D274="Y","",IF(N274="Y",INDEX(#REF!,MATCH(C274,#REF!,0)),C274))</f>
        <v>6 - Junior Officer</v>
      </c>
      <c r="N274" t="s">
        <v>52</v>
      </c>
      <c r="O274" t="s">
        <v>40</v>
      </c>
      <c r="P274">
        <v>24</v>
      </c>
      <c r="Q274" t="s">
        <v>9</v>
      </c>
      <c r="R274" t="s">
        <v>9</v>
      </c>
      <c r="S274" t="s">
        <v>9</v>
      </c>
      <c r="T274" s="2">
        <v>42461</v>
      </c>
      <c r="U274">
        <v>4</v>
      </c>
      <c r="V274">
        <f t="shared" ca="1" si="4"/>
        <v>0.21539112077506584</v>
      </c>
    </row>
    <row r="275" spans="1:22">
      <c r="A275">
        <v>274</v>
      </c>
      <c r="B275" t="s">
        <v>1</v>
      </c>
      <c r="C275" t="s">
        <v>56</v>
      </c>
      <c r="D275" t="s">
        <v>52</v>
      </c>
      <c r="E275">
        <v>2</v>
      </c>
      <c r="F275" t="s">
        <v>53</v>
      </c>
      <c r="G275" t="s">
        <v>50</v>
      </c>
      <c r="H275" t="s">
        <v>5</v>
      </c>
      <c r="I275" t="s">
        <v>5</v>
      </c>
      <c r="J275" s="1" t="s">
        <v>39</v>
      </c>
      <c r="K275" t="s">
        <v>39</v>
      </c>
      <c r="L275">
        <v>2</v>
      </c>
      <c r="M275" t="str">
        <f>IF(D275="Y","",IF(N275="Y",INDEX(#REF!,MATCH(C275,#REF!,0)),C275))</f>
        <v>6 - Junior Officer</v>
      </c>
      <c r="N275" t="s">
        <v>52</v>
      </c>
      <c r="O275" t="s">
        <v>63</v>
      </c>
      <c r="P275">
        <v>19</v>
      </c>
      <c r="Q275" t="s">
        <v>9</v>
      </c>
      <c r="R275" t="s">
        <v>9</v>
      </c>
      <c r="S275" t="s">
        <v>9</v>
      </c>
      <c r="T275" s="2">
        <v>43191</v>
      </c>
      <c r="U275">
        <v>2</v>
      </c>
      <c r="V275">
        <f t="shared" ca="1" si="4"/>
        <v>8.911909477104385E-2</v>
      </c>
    </row>
    <row r="276" spans="1:22">
      <c r="A276">
        <v>275</v>
      </c>
      <c r="B276" t="s">
        <v>0</v>
      </c>
      <c r="C276" s="3" t="s">
        <v>59</v>
      </c>
      <c r="D276" t="s">
        <v>52</v>
      </c>
      <c r="E276">
        <v>3</v>
      </c>
      <c r="F276" t="s">
        <v>51</v>
      </c>
      <c r="G276" t="s">
        <v>50</v>
      </c>
      <c r="H276" t="s">
        <v>5</v>
      </c>
      <c r="I276" t="s">
        <v>5</v>
      </c>
      <c r="J276" s="1" t="s">
        <v>39</v>
      </c>
      <c r="K276" t="s">
        <v>39</v>
      </c>
      <c r="L276">
        <v>5</v>
      </c>
      <c r="M276" t="str">
        <f>IF(D276="Y","",IF(N276="Y",INDEX(#REF!,MATCH(C276,#REF!,0)),C276))</f>
        <v>2 - Director</v>
      </c>
      <c r="N276" t="s">
        <v>52</v>
      </c>
      <c r="O276" t="s">
        <v>42</v>
      </c>
      <c r="P276">
        <v>41</v>
      </c>
      <c r="Q276" t="s">
        <v>20</v>
      </c>
      <c r="R276" t="s">
        <v>45</v>
      </c>
      <c r="S276" t="s">
        <v>45</v>
      </c>
      <c r="T276" s="2">
        <v>42095</v>
      </c>
      <c r="U276">
        <v>5</v>
      </c>
      <c r="V276">
        <f t="shared" ca="1" si="4"/>
        <v>0.97448387404003334</v>
      </c>
    </row>
    <row r="277" spans="1:22">
      <c r="A277">
        <v>276</v>
      </c>
      <c r="B277" t="s">
        <v>1</v>
      </c>
      <c r="C277" t="s">
        <v>56</v>
      </c>
      <c r="D277" t="s">
        <v>52</v>
      </c>
      <c r="E277">
        <v>1</v>
      </c>
      <c r="F277" t="s">
        <v>53</v>
      </c>
      <c r="G277" t="s">
        <v>50</v>
      </c>
      <c r="H277" t="s">
        <v>7</v>
      </c>
      <c r="I277" t="s">
        <v>7</v>
      </c>
      <c r="J277" s="1" t="s">
        <v>39</v>
      </c>
      <c r="K277" t="s">
        <v>39</v>
      </c>
      <c r="L277">
        <v>3</v>
      </c>
      <c r="M277" t="str">
        <f>IF(D277="Y","",IF(N277="Y",INDEX(#REF!,MATCH(C277,#REF!,0)),C277))</f>
        <v>6 - Junior Officer</v>
      </c>
      <c r="N277" t="s">
        <v>52</v>
      </c>
      <c r="O277" t="s">
        <v>63</v>
      </c>
      <c r="P277">
        <v>19</v>
      </c>
      <c r="Q277" t="s">
        <v>20</v>
      </c>
      <c r="R277" t="s">
        <v>45</v>
      </c>
      <c r="S277" t="s">
        <v>45</v>
      </c>
      <c r="T277" s="2">
        <v>42826</v>
      </c>
      <c r="U277">
        <v>3</v>
      </c>
      <c r="V277">
        <f t="shared" ca="1" si="4"/>
        <v>0.85492824751848351</v>
      </c>
    </row>
    <row r="278" spans="1:22">
      <c r="A278">
        <v>277</v>
      </c>
      <c r="B278" t="s">
        <v>1</v>
      </c>
      <c r="C278" t="s">
        <v>56</v>
      </c>
      <c r="D278" t="s">
        <v>52</v>
      </c>
      <c r="E278">
        <v>3</v>
      </c>
      <c r="F278" t="s">
        <v>53</v>
      </c>
      <c r="G278" t="s">
        <v>50</v>
      </c>
      <c r="H278" t="s">
        <v>5</v>
      </c>
      <c r="I278" t="s">
        <v>5</v>
      </c>
      <c r="J278" s="1" t="s">
        <v>39</v>
      </c>
      <c r="K278" t="s">
        <v>39</v>
      </c>
      <c r="L278">
        <v>3</v>
      </c>
      <c r="M278" t="str">
        <f>IF(D278="Y","",IF(N278="Y",INDEX(#REF!,MATCH(C278,#REF!,0)),C278))</f>
        <v>6 - Junior Officer</v>
      </c>
      <c r="N278" t="s">
        <v>52</v>
      </c>
      <c r="O278" t="s">
        <v>40</v>
      </c>
      <c r="P278">
        <v>23</v>
      </c>
      <c r="Q278" t="s">
        <v>20</v>
      </c>
      <c r="R278" t="s">
        <v>45</v>
      </c>
      <c r="S278" t="s">
        <v>45</v>
      </c>
      <c r="T278" s="2">
        <v>42826</v>
      </c>
      <c r="U278">
        <v>3</v>
      </c>
      <c r="V278">
        <f t="shared" ca="1" si="4"/>
        <v>0.54231458024733126</v>
      </c>
    </row>
    <row r="279" spans="1:22">
      <c r="A279">
        <v>278</v>
      </c>
      <c r="B279" t="s">
        <v>1</v>
      </c>
      <c r="C279" t="s">
        <v>58</v>
      </c>
      <c r="D279" t="s">
        <v>52</v>
      </c>
      <c r="E279">
        <v>2</v>
      </c>
      <c r="F279" t="s">
        <v>53</v>
      </c>
      <c r="G279" t="s">
        <v>50</v>
      </c>
      <c r="H279" t="s">
        <v>7</v>
      </c>
      <c r="I279" t="s">
        <v>7</v>
      </c>
      <c r="J279" s="1" t="s">
        <v>39</v>
      </c>
      <c r="K279" t="s">
        <v>39</v>
      </c>
      <c r="L279">
        <v>4</v>
      </c>
      <c r="M279" t="str">
        <f>IF(D279="Y","",IF(N279="Y",INDEX(#REF!,MATCH(C279,#REF!,0)),C279))</f>
        <v>3 - Senior Manager</v>
      </c>
      <c r="N279" t="s">
        <v>52</v>
      </c>
      <c r="O279" t="s">
        <v>41</v>
      </c>
      <c r="P279">
        <v>39</v>
      </c>
      <c r="Q279" t="s">
        <v>9</v>
      </c>
      <c r="R279" t="s">
        <v>9</v>
      </c>
      <c r="S279" t="s">
        <v>9</v>
      </c>
      <c r="T279" s="2">
        <v>42461</v>
      </c>
      <c r="U279">
        <v>4</v>
      </c>
      <c r="V279">
        <f t="shared" ca="1" si="4"/>
        <v>0.86464583061522515</v>
      </c>
    </row>
    <row r="280" spans="1:22">
      <c r="A280">
        <v>279</v>
      </c>
      <c r="B280" t="s">
        <v>1</v>
      </c>
      <c r="C280" t="s">
        <v>56</v>
      </c>
      <c r="D280" t="s">
        <v>52</v>
      </c>
      <c r="E280">
        <v>2</v>
      </c>
      <c r="F280" t="s">
        <v>53</v>
      </c>
      <c r="G280" t="s">
        <v>50</v>
      </c>
      <c r="H280" t="s">
        <v>7</v>
      </c>
      <c r="I280" t="s">
        <v>7</v>
      </c>
      <c r="J280" s="1" t="s">
        <v>39</v>
      </c>
      <c r="K280" t="s">
        <v>39</v>
      </c>
      <c r="L280">
        <v>4</v>
      </c>
      <c r="M280" t="str">
        <f>IF(D280="Y","",IF(N280="Y",INDEX(#REF!,MATCH(C280,#REF!,0)),C280))</f>
        <v>6 - Junior Officer</v>
      </c>
      <c r="N280" t="s">
        <v>52</v>
      </c>
      <c r="O280" t="s">
        <v>40</v>
      </c>
      <c r="P280">
        <v>24</v>
      </c>
      <c r="Q280" t="s">
        <v>9</v>
      </c>
      <c r="R280" t="s">
        <v>9</v>
      </c>
      <c r="S280" t="s">
        <v>9</v>
      </c>
      <c r="T280" s="2">
        <v>42461</v>
      </c>
      <c r="U280">
        <v>4</v>
      </c>
      <c r="V280">
        <f t="shared" ca="1" si="4"/>
        <v>0.43086176802828335</v>
      </c>
    </row>
    <row r="281" spans="1:22">
      <c r="A281">
        <v>280</v>
      </c>
      <c r="B281" t="s">
        <v>1</v>
      </c>
      <c r="C281" t="s">
        <v>60</v>
      </c>
      <c r="D281" t="s">
        <v>50</v>
      </c>
      <c r="F281" t="s">
        <v>53</v>
      </c>
      <c r="G281" t="s">
        <v>52</v>
      </c>
      <c r="H281" t="s">
        <v>6</v>
      </c>
      <c r="I281" t="s">
        <v>6</v>
      </c>
      <c r="J281" s="1" t="s">
        <v>39</v>
      </c>
      <c r="K281" t="s">
        <v>39</v>
      </c>
      <c r="L281">
        <v>0</v>
      </c>
      <c r="M281" t="str">
        <f>IF(D281="Y","",IF(N281="Y",INDEX(#REF!,MATCH(C281,#REF!,0)),C281))</f>
        <v/>
      </c>
      <c r="N281" t="s">
        <v>52</v>
      </c>
      <c r="O281" t="s">
        <v>41</v>
      </c>
      <c r="P281">
        <v>38</v>
      </c>
      <c r="Q281" t="s">
        <v>20</v>
      </c>
      <c r="R281" t="s">
        <v>45</v>
      </c>
      <c r="S281" t="s">
        <v>45</v>
      </c>
      <c r="T281" s="2">
        <v>43922</v>
      </c>
      <c r="U281">
        <v>0</v>
      </c>
      <c r="V281">
        <f t="shared" ca="1" si="4"/>
        <v>0.57551607661803095</v>
      </c>
    </row>
    <row r="282" spans="1:22">
      <c r="A282">
        <v>281</v>
      </c>
      <c r="B282" t="s">
        <v>1</v>
      </c>
      <c r="C282" t="s">
        <v>56</v>
      </c>
      <c r="D282" t="s">
        <v>52</v>
      </c>
      <c r="E282">
        <v>2</v>
      </c>
      <c r="F282" t="s">
        <v>53</v>
      </c>
      <c r="G282" t="s">
        <v>50</v>
      </c>
      <c r="H282" t="s">
        <v>5</v>
      </c>
      <c r="I282" t="s">
        <v>5</v>
      </c>
      <c r="J282" s="1" t="s">
        <v>39</v>
      </c>
      <c r="K282" t="s">
        <v>39</v>
      </c>
      <c r="L282">
        <v>3</v>
      </c>
      <c r="M282" t="str">
        <f>IF(D282="Y","",IF(N282="Y",INDEX(#REF!,MATCH(C282,#REF!,0)),C282))</f>
        <v>6 - Junior Officer</v>
      </c>
      <c r="N282" t="s">
        <v>52</v>
      </c>
      <c r="O282" t="s">
        <v>40</v>
      </c>
      <c r="P282">
        <v>24</v>
      </c>
      <c r="Q282" t="s">
        <v>15</v>
      </c>
      <c r="R282" t="s">
        <v>45</v>
      </c>
      <c r="S282" t="s">
        <v>45</v>
      </c>
      <c r="T282" s="2">
        <v>42826</v>
      </c>
      <c r="U282">
        <v>3</v>
      </c>
      <c r="V282">
        <f t="shared" ca="1" si="4"/>
        <v>0.4466517830969674</v>
      </c>
    </row>
    <row r="283" spans="1:22">
      <c r="A283">
        <v>282</v>
      </c>
      <c r="B283" t="s">
        <v>1</v>
      </c>
      <c r="C283" t="s">
        <v>59</v>
      </c>
      <c r="D283" t="s">
        <v>52</v>
      </c>
      <c r="E283">
        <v>2</v>
      </c>
      <c r="F283" t="s">
        <v>53</v>
      </c>
      <c r="G283" t="s">
        <v>50</v>
      </c>
      <c r="H283" t="s">
        <v>6</v>
      </c>
      <c r="I283" t="s">
        <v>6</v>
      </c>
      <c r="J283" s="1" t="s">
        <v>39</v>
      </c>
      <c r="K283" t="s">
        <v>39</v>
      </c>
      <c r="L283">
        <v>3</v>
      </c>
      <c r="M283" t="str">
        <f>IF(D283="Y","",IF(N283="Y",INDEX(#REF!,MATCH(C283,#REF!,0)),C283))</f>
        <v>2 - Director</v>
      </c>
      <c r="N283" t="s">
        <v>52</v>
      </c>
      <c r="O283" t="s">
        <v>42</v>
      </c>
      <c r="P283">
        <v>44</v>
      </c>
      <c r="Q283" t="s">
        <v>20</v>
      </c>
      <c r="R283" t="s">
        <v>45</v>
      </c>
      <c r="S283" t="s">
        <v>45</v>
      </c>
      <c r="T283" s="2">
        <v>40634</v>
      </c>
      <c r="U283">
        <v>9</v>
      </c>
      <c r="V283">
        <f t="shared" ca="1" si="4"/>
        <v>0.87581826610710078</v>
      </c>
    </row>
    <row r="284" spans="1:22">
      <c r="A284">
        <v>283</v>
      </c>
      <c r="B284" t="s">
        <v>1</v>
      </c>
      <c r="C284" t="s">
        <v>56</v>
      </c>
      <c r="D284" t="s">
        <v>52</v>
      </c>
      <c r="E284">
        <v>2</v>
      </c>
      <c r="F284" t="s">
        <v>53</v>
      </c>
      <c r="G284" t="s">
        <v>50</v>
      </c>
      <c r="H284" t="s">
        <v>5</v>
      </c>
      <c r="I284" t="s">
        <v>5</v>
      </c>
      <c r="J284" s="1" t="s">
        <v>39</v>
      </c>
      <c r="K284" t="s">
        <v>39</v>
      </c>
      <c r="L284">
        <v>2</v>
      </c>
      <c r="M284" t="str">
        <f>IF(D284="Y","",IF(N284="Y",INDEX(#REF!,MATCH(C284,#REF!,0)),C284))</f>
        <v>6 - Junior Officer</v>
      </c>
      <c r="N284" t="s">
        <v>52</v>
      </c>
      <c r="O284" t="s">
        <v>40</v>
      </c>
      <c r="P284">
        <v>25</v>
      </c>
      <c r="Q284" t="s">
        <v>9</v>
      </c>
      <c r="R284" t="s">
        <v>9</v>
      </c>
      <c r="S284" t="s">
        <v>9</v>
      </c>
      <c r="T284" s="2">
        <v>43191</v>
      </c>
      <c r="U284">
        <v>2</v>
      </c>
      <c r="V284">
        <f t="shared" ca="1" si="4"/>
        <v>2.2468124606219719E-2</v>
      </c>
    </row>
    <row r="285" spans="1:22">
      <c r="A285">
        <v>284</v>
      </c>
      <c r="B285" t="s">
        <v>1</v>
      </c>
      <c r="C285" t="s">
        <v>56</v>
      </c>
      <c r="D285" t="s">
        <v>52</v>
      </c>
      <c r="E285">
        <v>3</v>
      </c>
      <c r="F285" t="s">
        <v>53</v>
      </c>
      <c r="G285" t="s">
        <v>50</v>
      </c>
      <c r="H285" t="s">
        <v>5</v>
      </c>
      <c r="I285" t="s">
        <v>5</v>
      </c>
      <c r="J285" s="1" t="s">
        <v>39</v>
      </c>
      <c r="K285" t="s">
        <v>39</v>
      </c>
      <c r="L285">
        <v>3</v>
      </c>
      <c r="M285" t="str">
        <f>IF(D285="Y","",IF(N285="Y",INDEX(#REF!,MATCH(C285,#REF!,0)),C285))</f>
        <v>6 - Junior Officer</v>
      </c>
      <c r="N285" t="s">
        <v>52</v>
      </c>
      <c r="O285" t="s">
        <v>40</v>
      </c>
      <c r="P285">
        <v>21</v>
      </c>
      <c r="Q285" t="s">
        <v>20</v>
      </c>
      <c r="R285" t="s">
        <v>45</v>
      </c>
      <c r="S285" t="s">
        <v>45</v>
      </c>
      <c r="T285" s="2">
        <v>42826</v>
      </c>
      <c r="U285">
        <v>3</v>
      </c>
      <c r="V285">
        <f t="shared" ca="1" si="4"/>
        <v>0.95655965939442489</v>
      </c>
    </row>
    <row r="286" spans="1:22">
      <c r="A286">
        <v>285</v>
      </c>
      <c r="B286" t="s">
        <v>1</v>
      </c>
      <c r="C286" t="s">
        <v>56</v>
      </c>
      <c r="D286" t="s">
        <v>52</v>
      </c>
      <c r="E286">
        <v>3</v>
      </c>
      <c r="F286" t="s">
        <v>53</v>
      </c>
      <c r="G286" t="s">
        <v>50</v>
      </c>
      <c r="H286" t="s">
        <v>7</v>
      </c>
      <c r="I286" t="s">
        <v>7</v>
      </c>
      <c r="J286" s="1" t="s">
        <v>39</v>
      </c>
      <c r="K286" t="s">
        <v>39</v>
      </c>
      <c r="L286">
        <v>2</v>
      </c>
      <c r="M286" t="str">
        <f>IF(D286="Y","",IF(N286="Y",INDEX(#REF!,MATCH(C286,#REF!,0)),C286))</f>
        <v>6 - Junior Officer</v>
      </c>
      <c r="N286" t="s">
        <v>52</v>
      </c>
      <c r="O286" t="s">
        <v>40</v>
      </c>
      <c r="P286">
        <v>22</v>
      </c>
      <c r="Q286" t="s">
        <v>9</v>
      </c>
      <c r="R286" t="s">
        <v>9</v>
      </c>
      <c r="S286" t="s">
        <v>9</v>
      </c>
      <c r="T286" s="2">
        <v>43191</v>
      </c>
      <c r="U286">
        <v>2</v>
      </c>
      <c r="V286">
        <f t="shared" ca="1" si="4"/>
        <v>1.4142312958437153E-2</v>
      </c>
    </row>
    <row r="287" spans="1:22">
      <c r="A287">
        <v>286</v>
      </c>
      <c r="B287" t="s">
        <v>1</v>
      </c>
      <c r="C287" t="s">
        <v>57</v>
      </c>
      <c r="D287" t="s">
        <v>52</v>
      </c>
      <c r="E287">
        <v>3</v>
      </c>
      <c r="F287" t="s">
        <v>53</v>
      </c>
      <c r="G287" t="s">
        <v>50</v>
      </c>
      <c r="H287" t="s">
        <v>5</v>
      </c>
      <c r="I287" t="s">
        <v>5</v>
      </c>
      <c r="J287" s="1" t="s">
        <v>39</v>
      </c>
      <c r="K287" t="s">
        <v>39</v>
      </c>
      <c r="L287">
        <v>1</v>
      </c>
      <c r="M287" t="e">
        <f>IF(D287="Y","",IF(N287="Y",INDEX(#REF!,MATCH(C287,#REF!,0)),C287))</f>
        <v>#REF!</v>
      </c>
      <c r="N287" t="s">
        <v>50</v>
      </c>
      <c r="O287" t="s">
        <v>41</v>
      </c>
      <c r="P287">
        <v>30</v>
      </c>
      <c r="Q287" t="s">
        <v>19</v>
      </c>
      <c r="R287" t="s">
        <v>45</v>
      </c>
      <c r="S287" t="s">
        <v>45</v>
      </c>
      <c r="T287" s="2">
        <v>43191</v>
      </c>
      <c r="U287">
        <v>2</v>
      </c>
      <c r="V287">
        <f t="shared" ca="1" si="4"/>
        <v>0.42926752886577568</v>
      </c>
    </row>
    <row r="288" spans="1:22">
      <c r="A288">
        <v>287</v>
      </c>
      <c r="B288" t="s">
        <v>0</v>
      </c>
      <c r="C288" t="s">
        <v>56</v>
      </c>
      <c r="D288" t="s">
        <v>50</v>
      </c>
      <c r="F288" t="s">
        <v>53</v>
      </c>
      <c r="G288" t="s">
        <v>52</v>
      </c>
      <c r="H288" t="s">
        <v>6</v>
      </c>
      <c r="I288" t="s">
        <v>6</v>
      </c>
      <c r="J288" s="1">
        <v>0.7</v>
      </c>
      <c r="K288" t="s">
        <v>38</v>
      </c>
      <c r="L288">
        <v>0</v>
      </c>
      <c r="M288" t="str">
        <f>IF(D288="Y","",IF(N288="Y",INDEX(#REF!,MATCH(C288,#REF!,0)),C288))</f>
        <v/>
      </c>
      <c r="N288" t="s">
        <v>52</v>
      </c>
      <c r="O288" t="s">
        <v>40</v>
      </c>
      <c r="P288">
        <v>22</v>
      </c>
      <c r="Q288" t="s">
        <v>20</v>
      </c>
      <c r="R288" t="s">
        <v>45</v>
      </c>
      <c r="S288" t="s">
        <v>45</v>
      </c>
      <c r="T288" s="2">
        <v>43922</v>
      </c>
      <c r="U288">
        <v>0</v>
      </c>
      <c r="V288">
        <f t="shared" ca="1" si="4"/>
        <v>0.60151237636495658</v>
      </c>
    </row>
    <row r="289" spans="1:22">
      <c r="A289">
        <v>288</v>
      </c>
      <c r="B289" t="s">
        <v>1</v>
      </c>
      <c r="C289" t="s">
        <v>61</v>
      </c>
      <c r="D289" t="s">
        <v>52</v>
      </c>
      <c r="E289">
        <v>2</v>
      </c>
      <c r="F289" t="s">
        <v>53</v>
      </c>
      <c r="G289" t="s">
        <v>50</v>
      </c>
      <c r="H289" t="s">
        <v>7</v>
      </c>
      <c r="I289" t="s">
        <v>7</v>
      </c>
      <c r="J289" s="1" t="s">
        <v>39</v>
      </c>
      <c r="K289" t="s">
        <v>39</v>
      </c>
      <c r="L289">
        <v>3</v>
      </c>
      <c r="M289" t="str">
        <f>IF(D289="Y","",IF(N289="Y",INDEX(#REF!,MATCH(C289,#REF!,0)),C289))</f>
        <v>5 - Senior Officer</v>
      </c>
      <c r="N289" t="s">
        <v>52</v>
      </c>
      <c r="O289" t="s">
        <v>40</v>
      </c>
      <c r="P289">
        <v>25</v>
      </c>
      <c r="Q289" t="s">
        <v>19</v>
      </c>
      <c r="R289" t="s">
        <v>45</v>
      </c>
      <c r="S289" t="s">
        <v>45</v>
      </c>
      <c r="T289" s="2">
        <v>42461</v>
      </c>
      <c r="U289">
        <v>4</v>
      </c>
      <c r="V289">
        <f t="shared" ca="1" si="4"/>
        <v>0.44749508699677243</v>
      </c>
    </row>
    <row r="290" spans="1:22">
      <c r="A290">
        <v>289</v>
      </c>
      <c r="B290" t="s">
        <v>0</v>
      </c>
      <c r="C290" t="s">
        <v>61</v>
      </c>
      <c r="D290" t="s">
        <v>52</v>
      </c>
      <c r="E290">
        <v>3</v>
      </c>
      <c r="F290" t="s">
        <v>53</v>
      </c>
      <c r="G290" t="s">
        <v>50</v>
      </c>
      <c r="H290" t="s">
        <v>7</v>
      </c>
      <c r="I290" t="s">
        <v>7</v>
      </c>
      <c r="J290" s="1" t="s">
        <v>39</v>
      </c>
      <c r="K290" t="s">
        <v>39</v>
      </c>
      <c r="L290">
        <v>3</v>
      </c>
      <c r="M290" t="str">
        <f>IF(D290="Y","",IF(N290="Y",INDEX(#REF!,MATCH(C290,#REF!,0)),C290))</f>
        <v>5 - Senior Officer</v>
      </c>
      <c r="N290" t="s">
        <v>52</v>
      </c>
      <c r="O290" t="s">
        <v>41</v>
      </c>
      <c r="P290">
        <v>33</v>
      </c>
      <c r="Q290" t="s">
        <v>15</v>
      </c>
      <c r="R290" t="s">
        <v>45</v>
      </c>
      <c r="S290" t="s">
        <v>45</v>
      </c>
      <c r="T290" s="2">
        <v>42461</v>
      </c>
      <c r="U290">
        <v>4</v>
      </c>
      <c r="V290">
        <f t="shared" ca="1" si="4"/>
        <v>0.26363207316087534</v>
      </c>
    </row>
    <row r="291" spans="1:22">
      <c r="A291">
        <v>290</v>
      </c>
      <c r="B291" t="s">
        <v>0</v>
      </c>
      <c r="C291" t="s">
        <v>56</v>
      </c>
      <c r="D291" t="s">
        <v>52</v>
      </c>
      <c r="E291">
        <v>2</v>
      </c>
      <c r="F291" t="s">
        <v>53</v>
      </c>
      <c r="G291" t="s">
        <v>50</v>
      </c>
      <c r="H291" t="s">
        <v>5</v>
      </c>
      <c r="I291" t="s">
        <v>5</v>
      </c>
      <c r="J291" s="1" t="s">
        <v>39</v>
      </c>
      <c r="K291" t="s">
        <v>39</v>
      </c>
      <c r="L291">
        <v>2</v>
      </c>
      <c r="M291" t="str">
        <f>IF(D291="Y","",IF(N291="Y",INDEX(#REF!,MATCH(C291,#REF!,0)),C291))</f>
        <v>6 - Junior Officer</v>
      </c>
      <c r="N291" t="s">
        <v>52</v>
      </c>
      <c r="O291" t="s">
        <v>40</v>
      </c>
      <c r="P291">
        <v>26</v>
      </c>
      <c r="Q291" t="s">
        <v>20</v>
      </c>
      <c r="R291" t="s">
        <v>45</v>
      </c>
      <c r="S291" t="s">
        <v>45</v>
      </c>
      <c r="T291" s="2">
        <v>43191</v>
      </c>
      <c r="U291">
        <v>2</v>
      </c>
      <c r="V291">
        <f t="shared" ca="1" si="4"/>
        <v>0.68225313063789739</v>
      </c>
    </row>
    <row r="292" spans="1:22">
      <c r="A292">
        <v>291</v>
      </c>
      <c r="B292" t="s">
        <v>0</v>
      </c>
      <c r="C292" t="s">
        <v>57</v>
      </c>
      <c r="D292" t="s">
        <v>52</v>
      </c>
      <c r="E292">
        <v>2</v>
      </c>
      <c r="F292" t="s">
        <v>53</v>
      </c>
      <c r="G292" t="s">
        <v>50</v>
      </c>
      <c r="H292" t="s">
        <v>7</v>
      </c>
      <c r="I292" t="s">
        <v>7</v>
      </c>
      <c r="J292" s="1" t="s">
        <v>39</v>
      </c>
      <c r="K292" t="s">
        <v>39</v>
      </c>
      <c r="L292">
        <v>3</v>
      </c>
      <c r="M292" t="str">
        <f>IF(D292="Y","",IF(N292="Y",INDEX(#REF!,MATCH(C292,#REF!,0)),C292))</f>
        <v>4 - Manager</v>
      </c>
      <c r="N292" t="s">
        <v>52</v>
      </c>
      <c r="O292" t="s">
        <v>41</v>
      </c>
      <c r="P292">
        <v>38</v>
      </c>
      <c r="Q292" t="s">
        <v>22</v>
      </c>
      <c r="R292" t="s">
        <v>45</v>
      </c>
      <c r="S292" t="s">
        <v>45</v>
      </c>
      <c r="T292" s="2">
        <v>41730</v>
      </c>
      <c r="U292">
        <v>6</v>
      </c>
      <c r="V292">
        <f t="shared" ca="1" si="4"/>
        <v>0.70696789932641968</v>
      </c>
    </row>
    <row r="293" spans="1:22">
      <c r="A293">
        <v>292</v>
      </c>
      <c r="B293" t="s">
        <v>1</v>
      </c>
      <c r="C293" t="s">
        <v>56</v>
      </c>
      <c r="D293" t="s">
        <v>52</v>
      </c>
      <c r="E293">
        <v>3</v>
      </c>
      <c r="F293" t="s">
        <v>53</v>
      </c>
      <c r="G293" t="s">
        <v>50</v>
      </c>
      <c r="H293" t="s">
        <v>7</v>
      </c>
      <c r="I293" t="s">
        <v>7</v>
      </c>
      <c r="J293" s="1" t="s">
        <v>39</v>
      </c>
      <c r="K293" t="s">
        <v>39</v>
      </c>
      <c r="L293">
        <v>2</v>
      </c>
      <c r="M293" t="str">
        <f>IF(D293="Y","",IF(N293="Y",INDEX(#REF!,MATCH(C293,#REF!,0)),C293))</f>
        <v>6 - Junior Officer</v>
      </c>
      <c r="N293" t="s">
        <v>52</v>
      </c>
      <c r="O293" t="s">
        <v>40</v>
      </c>
      <c r="P293">
        <v>22</v>
      </c>
      <c r="Q293" t="s">
        <v>20</v>
      </c>
      <c r="R293" t="s">
        <v>45</v>
      </c>
      <c r="S293" t="s">
        <v>45</v>
      </c>
      <c r="T293" s="2">
        <v>43191</v>
      </c>
      <c r="U293">
        <v>2</v>
      </c>
      <c r="V293">
        <f t="shared" ca="1" si="4"/>
        <v>0.54703026979409419</v>
      </c>
    </row>
    <row r="294" spans="1:22">
      <c r="A294">
        <v>293</v>
      </c>
      <c r="B294" t="s">
        <v>0</v>
      </c>
      <c r="C294" t="s">
        <v>56</v>
      </c>
      <c r="D294" t="s">
        <v>52</v>
      </c>
      <c r="E294">
        <v>2</v>
      </c>
      <c r="F294" t="s">
        <v>53</v>
      </c>
      <c r="G294" t="s">
        <v>50</v>
      </c>
      <c r="H294" t="s">
        <v>6</v>
      </c>
      <c r="I294" t="s">
        <v>6</v>
      </c>
      <c r="J294" s="1">
        <v>0.6</v>
      </c>
      <c r="K294" t="s">
        <v>38</v>
      </c>
      <c r="L294">
        <v>2</v>
      </c>
      <c r="M294" t="str">
        <f>IF(D294="Y","",IF(N294="Y",INDEX(#REF!,MATCH(C294,#REF!,0)),C294))</f>
        <v>6 - Junior Officer</v>
      </c>
      <c r="N294" t="s">
        <v>52</v>
      </c>
      <c r="O294" t="s">
        <v>41</v>
      </c>
      <c r="P294">
        <v>33</v>
      </c>
      <c r="Q294" t="s">
        <v>20</v>
      </c>
      <c r="R294" t="s">
        <v>45</v>
      </c>
      <c r="S294" t="s">
        <v>45</v>
      </c>
      <c r="T294" s="2">
        <v>43191</v>
      </c>
      <c r="U294">
        <v>2</v>
      </c>
      <c r="V294">
        <f t="shared" ca="1" si="4"/>
        <v>3.2876885759855812E-2</v>
      </c>
    </row>
    <row r="295" spans="1:22">
      <c r="A295">
        <v>294</v>
      </c>
      <c r="B295" t="s">
        <v>0</v>
      </c>
      <c r="C295" t="s">
        <v>57</v>
      </c>
      <c r="D295" t="s">
        <v>50</v>
      </c>
      <c r="F295" t="s">
        <v>53</v>
      </c>
      <c r="G295" t="s">
        <v>52</v>
      </c>
      <c r="H295" t="s">
        <v>5</v>
      </c>
      <c r="I295" t="s">
        <v>5</v>
      </c>
      <c r="J295" s="1" t="s">
        <v>39</v>
      </c>
      <c r="K295" t="s">
        <v>39</v>
      </c>
      <c r="L295">
        <v>0</v>
      </c>
      <c r="M295" t="str">
        <f>IF(D295="Y","",IF(N295="Y",INDEX(#REF!,MATCH(C295,#REF!,0)),C295))</f>
        <v/>
      </c>
      <c r="N295" t="s">
        <v>52</v>
      </c>
      <c r="O295" t="s">
        <v>41</v>
      </c>
      <c r="P295">
        <v>34</v>
      </c>
      <c r="Q295" t="s">
        <v>9</v>
      </c>
      <c r="R295" t="s">
        <v>9</v>
      </c>
      <c r="S295" t="s">
        <v>9</v>
      </c>
      <c r="T295" s="2">
        <v>43922</v>
      </c>
      <c r="U295">
        <v>0</v>
      </c>
      <c r="V295">
        <f t="shared" ca="1" si="4"/>
        <v>0.4220628076620434</v>
      </c>
    </row>
    <row r="296" spans="1:22">
      <c r="A296">
        <v>295</v>
      </c>
      <c r="B296" t="s">
        <v>0</v>
      </c>
      <c r="C296" t="s">
        <v>61</v>
      </c>
      <c r="D296" t="s">
        <v>52</v>
      </c>
      <c r="E296">
        <v>2</v>
      </c>
      <c r="F296" t="s">
        <v>53</v>
      </c>
      <c r="G296" t="s">
        <v>50</v>
      </c>
      <c r="H296" t="s">
        <v>5</v>
      </c>
      <c r="I296" t="s">
        <v>5</v>
      </c>
      <c r="J296" s="1" t="s">
        <v>39</v>
      </c>
      <c r="K296" t="s">
        <v>39</v>
      </c>
      <c r="L296">
        <v>3</v>
      </c>
      <c r="M296" t="str">
        <f>IF(D296="Y","",IF(N296="Y",INDEX(#REF!,MATCH(C296,#REF!,0)),C296))</f>
        <v>5 - Senior Officer</v>
      </c>
      <c r="N296" t="s">
        <v>52</v>
      </c>
      <c r="O296" t="s">
        <v>40</v>
      </c>
      <c r="P296">
        <v>28</v>
      </c>
      <c r="Q296" t="s">
        <v>9</v>
      </c>
      <c r="R296" t="s">
        <v>9</v>
      </c>
      <c r="S296" t="s">
        <v>9</v>
      </c>
      <c r="T296" s="2">
        <v>41000</v>
      </c>
      <c r="U296">
        <v>8</v>
      </c>
      <c r="V296">
        <f t="shared" ca="1" si="4"/>
        <v>0.22072937173436369</v>
      </c>
    </row>
    <row r="297" spans="1:22">
      <c r="A297">
        <v>296</v>
      </c>
      <c r="B297" t="s">
        <v>1</v>
      </c>
      <c r="C297" t="s">
        <v>56</v>
      </c>
      <c r="D297" t="s">
        <v>52</v>
      </c>
      <c r="E297">
        <v>3</v>
      </c>
      <c r="F297" t="s">
        <v>53</v>
      </c>
      <c r="G297" t="s">
        <v>50</v>
      </c>
      <c r="H297" t="s">
        <v>7</v>
      </c>
      <c r="I297" t="s">
        <v>7</v>
      </c>
      <c r="J297" s="1" t="s">
        <v>39</v>
      </c>
      <c r="K297" t="s">
        <v>39</v>
      </c>
      <c r="L297">
        <v>2</v>
      </c>
      <c r="M297" t="str">
        <f>IF(D297="Y","",IF(N297="Y",INDEX(#REF!,MATCH(C297,#REF!,0)),C297))</f>
        <v>6 - Junior Officer</v>
      </c>
      <c r="N297" t="s">
        <v>52</v>
      </c>
      <c r="O297" t="s">
        <v>40</v>
      </c>
      <c r="P297">
        <v>25</v>
      </c>
      <c r="Q297" t="s">
        <v>21</v>
      </c>
      <c r="R297" t="s">
        <v>45</v>
      </c>
      <c r="S297" t="s">
        <v>45</v>
      </c>
      <c r="T297" s="2">
        <v>43191</v>
      </c>
      <c r="U297">
        <v>2</v>
      </c>
      <c r="V297">
        <f t="shared" ca="1" si="4"/>
        <v>0.81226910712106581</v>
      </c>
    </row>
    <row r="298" spans="1:22">
      <c r="A298">
        <v>297</v>
      </c>
      <c r="B298" t="s">
        <v>1</v>
      </c>
      <c r="C298" t="s">
        <v>56</v>
      </c>
      <c r="D298" t="s">
        <v>52</v>
      </c>
      <c r="E298">
        <v>3</v>
      </c>
      <c r="F298" t="s">
        <v>53</v>
      </c>
      <c r="G298" t="s">
        <v>50</v>
      </c>
      <c r="H298" t="s">
        <v>7</v>
      </c>
      <c r="I298" t="s">
        <v>7</v>
      </c>
      <c r="J298" s="1" t="s">
        <v>39</v>
      </c>
      <c r="K298" t="s">
        <v>39</v>
      </c>
      <c r="L298">
        <v>2</v>
      </c>
      <c r="M298" t="str">
        <f>IF(D298="Y","",IF(N298="Y",INDEX(#REF!,MATCH(C298,#REF!,0)),C298))</f>
        <v>6 - Junior Officer</v>
      </c>
      <c r="N298" t="s">
        <v>52</v>
      </c>
      <c r="O298" t="s">
        <v>40</v>
      </c>
      <c r="P298">
        <v>24</v>
      </c>
      <c r="Q298" t="s">
        <v>9</v>
      </c>
      <c r="R298" t="s">
        <v>9</v>
      </c>
      <c r="S298" t="s">
        <v>9</v>
      </c>
      <c r="T298" s="2">
        <v>43191</v>
      </c>
      <c r="U298">
        <v>2</v>
      </c>
      <c r="V298">
        <f t="shared" ca="1" si="4"/>
        <v>0.94922078568254309</v>
      </c>
    </row>
    <row r="299" spans="1:22">
      <c r="A299">
        <v>298</v>
      </c>
      <c r="B299" t="s">
        <v>0</v>
      </c>
      <c r="C299" t="s">
        <v>58</v>
      </c>
      <c r="D299" t="s">
        <v>52</v>
      </c>
      <c r="E299">
        <v>4</v>
      </c>
      <c r="F299" t="s">
        <v>53</v>
      </c>
      <c r="G299" t="s">
        <v>50</v>
      </c>
      <c r="H299" t="s">
        <v>5</v>
      </c>
      <c r="I299" t="s">
        <v>5</v>
      </c>
      <c r="J299" s="1" t="s">
        <v>39</v>
      </c>
      <c r="K299" t="s">
        <v>39</v>
      </c>
      <c r="L299">
        <v>2</v>
      </c>
      <c r="M299" t="str">
        <f>IF(D299="Y","",IF(N299="Y",INDEX(#REF!,MATCH(C299,#REF!,0)),C299))</f>
        <v>3 - Senior Manager</v>
      </c>
      <c r="N299" t="s">
        <v>52</v>
      </c>
      <c r="O299" t="s">
        <v>42</v>
      </c>
      <c r="P299">
        <v>41</v>
      </c>
      <c r="Q299" t="s">
        <v>9</v>
      </c>
      <c r="R299" t="s">
        <v>9</v>
      </c>
      <c r="S299" t="s">
        <v>9</v>
      </c>
      <c r="T299" s="2">
        <v>40634</v>
      </c>
      <c r="U299">
        <v>9</v>
      </c>
      <c r="V299">
        <f t="shared" ca="1" si="4"/>
        <v>0.73350060067315681</v>
      </c>
    </row>
    <row r="300" spans="1:22">
      <c r="A300">
        <v>299</v>
      </c>
      <c r="B300" t="s">
        <v>1</v>
      </c>
      <c r="C300" t="s">
        <v>56</v>
      </c>
      <c r="D300" t="s">
        <v>52</v>
      </c>
      <c r="E300">
        <v>3</v>
      </c>
      <c r="F300" t="s">
        <v>53</v>
      </c>
      <c r="G300" t="s">
        <v>50</v>
      </c>
      <c r="H300" t="s">
        <v>7</v>
      </c>
      <c r="I300" t="s">
        <v>7</v>
      </c>
      <c r="J300" s="1" t="s">
        <v>39</v>
      </c>
      <c r="K300" t="s">
        <v>39</v>
      </c>
      <c r="L300">
        <v>3</v>
      </c>
      <c r="M300" t="str">
        <f>IF(D300="Y","",IF(N300="Y",INDEX(#REF!,MATCH(C300,#REF!,0)),C300))</f>
        <v>6 - Junior Officer</v>
      </c>
      <c r="N300" t="s">
        <v>52</v>
      </c>
      <c r="O300" t="s">
        <v>40</v>
      </c>
      <c r="P300">
        <v>24</v>
      </c>
      <c r="Q300" t="s">
        <v>9</v>
      </c>
      <c r="R300" t="s">
        <v>9</v>
      </c>
      <c r="S300" t="s">
        <v>9</v>
      </c>
      <c r="T300" s="2">
        <v>42826</v>
      </c>
      <c r="U300">
        <v>3</v>
      </c>
      <c r="V300">
        <f t="shared" ca="1" si="4"/>
        <v>0.46095355259267923</v>
      </c>
    </row>
    <row r="301" spans="1:22">
      <c r="A301">
        <v>300</v>
      </c>
      <c r="B301" t="s">
        <v>1</v>
      </c>
      <c r="C301" t="s">
        <v>57</v>
      </c>
      <c r="D301" t="s">
        <v>52</v>
      </c>
      <c r="E301">
        <v>3</v>
      </c>
      <c r="F301" t="s">
        <v>53</v>
      </c>
      <c r="G301" t="s">
        <v>50</v>
      </c>
      <c r="H301" t="s">
        <v>5</v>
      </c>
      <c r="I301" t="s">
        <v>5</v>
      </c>
      <c r="J301" s="1" t="s">
        <v>39</v>
      </c>
      <c r="K301" t="s">
        <v>39</v>
      </c>
      <c r="L301">
        <v>2</v>
      </c>
      <c r="M301" t="str">
        <f>IF(D301="Y","",IF(N301="Y",INDEX(#REF!,MATCH(C301,#REF!,0)),C301))</f>
        <v>4 - Manager</v>
      </c>
      <c r="N301" t="s">
        <v>52</v>
      </c>
      <c r="O301" t="s">
        <v>41</v>
      </c>
      <c r="P301">
        <v>32</v>
      </c>
      <c r="Q301" t="s">
        <v>20</v>
      </c>
      <c r="R301" t="s">
        <v>45</v>
      </c>
      <c r="S301" t="s">
        <v>45</v>
      </c>
      <c r="T301" s="2">
        <v>42461</v>
      </c>
      <c r="U301">
        <v>4</v>
      </c>
      <c r="V301">
        <f t="shared" ca="1" si="4"/>
        <v>0.1577029366054441</v>
      </c>
    </row>
    <row r="302" spans="1:22">
      <c r="A302">
        <v>301</v>
      </c>
      <c r="B302" t="s">
        <v>0</v>
      </c>
      <c r="C302" t="s">
        <v>56</v>
      </c>
      <c r="D302" t="s">
        <v>52</v>
      </c>
      <c r="E302">
        <v>3</v>
      </c>
      <c r="F302" t="s">
        <v>53</v>
      </c>
      <c r="G302" t="s">
        <v>50</v>
      </c>
      <c r="H302" t="s">
        <v>5</v>
      </c>
      <c r="I302" t="s">
        <v>5</v>
      </c>
      <c r="J302" s="1" t="s">
        <v>39</v>
      </c>
      <c r="K302" t="s">
        <v>39</v>
      </c>
      <c r="L302">
        <v>2</v>
      </c>
      <c r="M302" t="str">
        <f>IF(D302="Y","",IF(N302="Y",INDEX(#REF!,MATCH(C302,#REF!,0)),C302))</f>
        <v>6 - Junior Officer</v>
      </c>
      <c r="N302" t="s">
        <v>52</v>
      </c>
      <c r="O302" t="s">
        <v>40</v>
      </c>
      <c r="P302">
        <v>25</v>
      </c>
      <c r="Q302" t="s">
        <v>9</v>
      </c>
      <c r="R302" t="s">
        <v>9</v>
      </c>
      <c r="S302" t="s">
        <v>9</v>
      </c>
      <c r="T302" s="2">
        <v>43191</v>
      </c>
      <c r="U302">
        <v>2</v>
      </c>
      <c r="V302">
        <f t="shared" ca="1" si="4"/>
        <v>0.2087544543631068</v>
      </c>
    </row>
    <row r="303" spans="1:22">
      <c r="A303">
        <v>302</v>
      </c>
      <c r="B303" t="s">
        <v>0</v>
      </c>
      <c r="C303" t="s">
        <v>56</v>
      </c>
      <c r="D303" t="s">
        <v>52</v>
      </c>
      <c r="E303">
        <v>2</v>
      </c>
      <c r="F303" t="s">
        <v>53</v>
      </c>
      <c r="G303" t="s">
        <v>50</v>
      </c>
      <c r="H303" t="s">
        <v>6</v>
      </c>
      <c r="I303" t="s">
        <v>6</v>
      </c>
      <c r="J303" s="1" t="s">
        <v>39</v>
      </c>
      <c r="K303" t="s">
        <v>39</v>
      </c>
      <c r="L303">
        <v>2</v>
      </c>
      <c r="M303" t="str">
        <f>IF(D303="Y","",IF(N303="Y",INDEX(#REF!,MATCH(C303,#REF!,0)),C303))</f>
        <v>6 - Junior Officer</v>
      </c>
      <c r="N303" t="s">
        <v>52</v>
      </c>
      <c r="O303" t="s">
        <v>40</v>
      </c>
      <c r="P303">
        <v>26</v>
      </c>
      <c r="Q303" t="s">
        <v>9</v>
      </c>
      <c r="R303" t="s">
        <v>9</v>
      </c>
      <c r="S303" t="s">
        <v>9</v>
      </c>
      <c r="T303" s="2">
        <v>43191</v>
      </c>
      <c r="U303">
        <v>2</v>
      </c>
      <c r="V303">
        <f t="shared" ca="1" si="4"/>
        <v>0.15185280459951944</v>
      </c>
    </row>
    <row r="304" spans="1:22">
      <c r="A304">
        <v>303</v>
      </c>
      <c r="B304" t="s">
        <v>1</v>
      </c>
      <c r="C304" t="s">
        <v>57</v>
      </c>
      <c r="D304" t="s">
        <v>50</v>
      </c>
      <c r="F304" t="s">
        <v>53</v>
      </c>
      <c r="G304" t="s">
        <v>52</v>
      </c>
      <c r="H304" t="s">
        <v>5</v>
      </c>
      <c r="I304" t="s">
        <v>5</v>
      </c>
      <c r="J304" s="1" t="s">
        <v>39</v>
      </c>
      <c r="K304" t="s">
        <v>39</v>
      </c>
      <c r="L304">
        <v>0</v>
      </c>
      <c r="M304" t="str">
        <f>IF(D304="Y","",IF(N304="Y",INDEX(#REF!,MATCH(C304,#REF!,0)),C304))</f>
        <v/>
      </c>
      <c r="N304" t="s">
        <v>52</v>
      </c>
      <c r="O304" t="s">
        <v>41</v>
      </c>
      <c r="P304">
        <v>34</v>
      </c>
      <c r="Q304" t="s">
        <v>9</v>
      </c>
      <c r="R304" t="s">
        <v>9</v>
      </c>
      <c r="S304" t="s">
        <v>9</v>
      </c>
      <c r="T304" s="2">
        <v>43922</v>
      </c>
      <c r="U304">
        <v>0</v>
      </c>
      <c r="V304">
        <f t="shared" ca="1" si="4"/>
        <v>0.21323616492764408</v>
      </c>
    </row>
    <row r="305" spans="1:22">
      <c r="A305">
        <v>304</v>
      </c>
      <c r="B305" t="s">
        <v>0</v>
      </c>
      <c r="C305" t="s">
        <v>58</v>
      </c>
      <c r="D305" t="s">
        <v>52</v>
      </c>
      <c r="E305">
        <v>2</v>
      </c>
      <c r="F305" t="s">
        <v>53</v>
      </c>
      <c r="G305" t="s">
        <v>50</v>
      </c>
      <c r="H305" t="s">
        <v>5</v>
      </c>
      <c r="I305" t="s">
        <v>5</v>
      </c>
      <c r="J305" s="1" t="s">
        <v>39</v>
      </c>
      <c r="K305" t="s">
        <v>39</v>
      </c>
      <c r="L305">
        <v>4</v>
      </c>
      <c r="M305" t="str">
        <f>IF(D305="Y","",IF(N305="Y",INDEX(#REF!,MATCH(C305,#REF!,0)),C305))</f>
        <v>3 - Senior Manager</v>
      </c>
      <c r="N305" t="s">
        <v>52</v>
      </c>
      <c r="O305" t="s">
        <v>43</v>
      </c>
      <c r="P305">
        <v>50</v>
      </c>
      <c r="Q305" t="s">
        <v>28</v>
      </c>
      <c r="R305" t="s">
        <v>45</v>
      </c>
      <c r="S305" t="s">
        <v>45</v>
      </c>
      <c r="T305" s="2">
        <v>41000</v>
      </c>
      <c r="U305">
        <v>8</v>
      </c>
      <c r="V305">
        <f t="shared" ca="1" si="4"/>
        <v>0.75773175406270066</v>
      </c>
    </row>
    <row r="306" spans="1:22">
      <c r="A306">
        <v>305</v>
      </c>
      <c r="B306" t="s">
        <v>1</v>
      </c>
      <c r="C306" t="s">
        <v>56</v>
      </c>
      <c r="D306" t="s">
        <v>52</v>
      </c>
      <c r="E306">
        <v>2</v>
      </c>
      <c r="F306" t="s">
        <v>53</v>
      </c>
      <c r="G306" t="s">
        <v>50</v>
      </c>
      <c r="H306" t="s">
        <v>7</v>
      </c>
      <c r="I306" t="s">
        <v>7</v>
      </c>
      <c r="J306" s="1" t="s">
        <v>39</v>
      </c>
      <c r="K306" t="s">
        <v>39</v>
      </c>
      <c r="L306">
        <v>2</v>
      </c>
      <c r="M306" t="str">
        <f>IF(D306="Y","",IF(N306="Y",INDEX(#REF!,MATCH(C306,#REF!,0)),C306))</f>
        <v>6 - Junior Officer</v>
      </c>
      <c r="N306" t="s">
        <v>52</v>
      </c>
      <c r="O306" t="s">
        <v>40</v>
      </c>
      <c r="P306">
        <v>28</v>
      </c>
      <c r="Q306" t="s">
        <v>15</v>
      </c>
      <c r="R306" t="s">
        <v>45</v>
      </c>
      <c r="S306" t="s">
        <v>45</v>
      </c>
      <c r="T306" s="2">
        <v>43191</v>
      </c>
      <c r="U306">
        <v>2</v>
      </c>
      <c r="V306">
        <f t="shared" ca="1" si="4"/>
        <v>0.7447187221726066</v>
      </c>
    </row>
    <row r="307" spans="1:22">
      <c r="A307">
        <v>306</v>
      </c>
      <c r="B307" t="s">
        <v>0</v>
      </c>
      <c r="C307" t="s">
        <v>56</v>
      </c>
      <c r="D307" t="s">
        <v>52</v>
      </c>
      <c r="E307">
        <v>3</v>
      </c>
      <c r="F307" t="s">
        <v>53</v>
      </c>
      <c r="G307" t="s">
        <v>50</v>
      </c>
      <c r="H307" t="s">
        <v>5</v>
      </c>
      <c r="I307" t="s">
        <v>5</v>
      </c>
      <c r="J307" s="1" t="s">
        <v>39</v>
      </c>
      <c r="K307" t="s">
        <v>39</v>
      </c>
      <c r="L307">
        <v>1</v>
      </c>
      <c r="M307" t="str">
        <f>IF(D307="Y","",IF(N307="Y",INDEX(#REF!,MATCH(C307,#REF!,0)),C307))</f>
        <v>6 - Junior Officer</v>
      </c>
      <c r="N307" t="s">
        <v>52</v>
      </c>
      <c r="O307" t="s">
        <v>40</v>
      </c>
      <c r="P307">
        <v>26</v>
      </c>
      <c r="Q307" t="s">
        <v>9</v>
      </c>
      <c r="R307" t="s">
        <v>9</v>
      </c>
      <c r="S307" t="s">
        <v>9</v>
      </c>
      <c r="T307" s="2">
        <v>43556</v>
      </c>
      <c r="U307">
        <v>1</v>
      </c>
      <c r="V307">
        <f t="shared" ca="1" si="4"/>
        <v>0.29942739258903994</v>
      </c>
    </row>
    <row r="308" spans="1:22">
      <c r="A308">
        <v>307</v>
      </c>
      <c r="B308" t="s">
        <v>1</v>
      </c>
      <c r="C308" t="s">
        <v>56</v>
      </c>
      <c r="D308" t="s">
        <v>52</v>
      </c>
      <c r="E308">
        <v>3</v>
      </c>
      <c r="F308" t="s">
        <v>53</v>
      </c>
      <c r="G308" t="s">
        <v>50</v>
      </c>
      <c r="H308" t="s">
        <v>5</v>
      </c>
      <c r="I308" t="s">
        <v>5</v>
      </c>
      <c r="J308" s="1" t="s">
        <v>39</v>
      </c>
      <c r="K308" t="s">
        <v>39</v>
      </c>
      <c r="L308">
        <v>1</v>
      </c>
      <c r="M308" t="str">
        <f>IF(D308="Y","",IF(N308="Y",INDEX(#REF!,MATCH(C308,#REF!,0)),C308))</f>
        <v>6 - Junior Officer</v>
      </c>
      <c r="N308" t="s">
        <v>52</v>
      </c>
      <c r="O308" t="s">
        <v>40</v>
      </c>
      <c r="P308">
        <v>25</v>
      </c>
      <c r="Q308" t="s">
        <v>9</v>
      </c>
      <c r="R308" t="s">
        <v>9</v>
      </c>
      <c r="S308" t="s">
        <v>9</v>
      </c>
      <c r="T308" s="2">
        <v>43556</v>
      </c>
      <c r="U308">
        <v>1</v>
      </c>
      <c r="V308">
        <f t="shared" ca="1" si="4"/>
        <v>0.31948430313655696</v>
      </c>
    </row>
    <row r="309" spans="1:22">
      <c r="A309">
        <v>308</v>
      </c>
      <c r="B309" t="s">
        <v>0</v>
      </c>
      <c r="C309" t="s">
        <v>61</v>
      </c>
      <c r="D309" t="s">
        <v>50</v>
      </c>
      <c r="F309" t="s">
        <v>53</v>
      </c>
      <c r="G309" t="s">
        <v>52</v>
      </c>
      <c r="H309" t="s">
        <v>7</v>
      </c>
      <c r="I309" t="s">
        <v>7</v>
      </c>
      <c r="J309" s="1" t="s">
        <v>39</v>
      </c>
      <c r="K309" t="s">
        <v>39</v>
      </c>
      <c r="L309">
        <v>0</v>
      </c>
      <c r="M309" t="str">
        <f>IF(D309="Y","",IF(N309="Y",INDEX(#REF!,MATCH(C309,#REF!,0)),C309))</f>
        <v/>
      </c>
      <c r="N309" t="s">
        <v>52</v>
      </c>
      <c r="O309" t="s">
        <v>41</v>
      </c>
      <c r="P309">
        <v>30</v>
      </c>
      <c r="Q309" t="s">
        <v>9</v>
      </c>
      <c r="R309" t="s">
        <v>9</v>
      </c>
      <c r="S309" t="s">
        <v>9</v>
      </c>
      <c r="T309" s="2">
        <v>43922</v>
      </c>
      <c r="U309">
        <v>0</v>
      </c>
      <c r="V309">
        <f t="shared" ca="1" si="4"/>
        <v>0.7959236297442599</v>
      </c>
    </row>
    <row r="310" spans="1:22">
      <c r="A310">
        <v>309</v>
      </c>
      <c r="B310" t="s">
        <v>1</v>
      </c>
      <c r="C310" s="3" t="s">
        <v>57</v>
      </c>
      <c r="D310" t="s">
        <v>52</v>
      </c>
      <c r="E310">
        <v>3</v>
      </c>
      <c r="F310" t="s">
        <v>51</v>
      </c>
      <c r="G310" t="s">
        <v>50</v>
      </c>
      <c r="H310" t="s">
        <v>7</v>
      </c>
      <c r="I310" t="s">
        <v>7</v>
      </c>
      <c r="J310" s="1" t="s">
        <v>39</v>
      </c>
      <c r="K310" t="s">
        <v>39</v>
      </c>
      <c r="L310">
        <v>3</v>
      </c>
      <c r="M310" t="str">
        <f>IF(D310="Y","",IF(N310="Y",INDEX(#REF!,MATCH(C310,#REF!,0)),C310))</f>
        <v>4 - Manager</v>
      </c>
      <c r="N310" t="s">
        <v>52</v>
      </c>
      <c r="O310" t="s">
        <v>42</v>
      </c>
      <c r="P310">
        <v>46</v>
      </c>
      <c r="Q310" t="s">
        <v>9</v>
      </c>
      <c r="R310" t="s">
        <v>9</v>
      </c>
      <c r="S310" t="s">
        <v>9</v>
      </c>
      <c r="T310" s="2">
        <v>41365</v>
      </c>
      <c r="U310">
        <v>7</v>
      </c>
      <c r="V310">
        <f t="shared" ca="1" si="4"/>
        <v>0.59057000419226235</v>
      </c>
    </row>
    <row r="311" spans="1:22">
      <c r="A311">
        <v>310</v>
      </c>
      <c r="B311" t="s">
        <v>0</v>
      </c>
      <c r="C311" t="s">
        <v>57</v>
      </c>
      <c r="D311" t="s">
        <v>50</v>
      </c>
      <c r="F311" t="s">
        <v>53</v>
      </c>
      <c r="G311" t="s">
        <v>52</v>
      </c>
      <c r="H311" t="s">
        <v>5</v>
      </c>
      <c r="I311" t="s">
        <v>5</v>
      </c>
      <c r="J311" s="1" t="s">
        <v>39</v>
      </c>
      <c r="K311" t="s">
        <v>39</v>
      </c>
      <c r="L311">
        <v>0</v>
      </c>
      <c r="M311" t="str">
        <f>IF(D311="Y","",IF(N311="Y",INDEX(#REF!,MATCH(C311,#REF!,0)),C311))</f>
        <v/>
      </c>
      <c r="N311" t="s">
        <v>52</v>
      </c>
      <c r="O311" t="s">
        <v>41</v>
      </c>
      <c r="P311">
        <v>37</v>
      </c>
      <c r="Q311" t="s">
        <v>19</v>
      </c>
      <c r="R311" t="s">
        <v>45</v>
      </c>
      <c r="S311" t="s">
        <v>45</v>
      </c>
      <c r="T311" s="2">
        <v>43922</v>
      </c>
      <c r="U311">
        <v>0</v>
      </c>
      <c r="V311">
        <f t="shared" ca="1" si="4"/>
        <v>0.11745609346091901</v>
      </c>
    </row>
    <row r="312" spans="1:22">
      <c r="A312">
        <v>311</v>
      </c>
      <c r="B312" t="s">
        <v>0</v>
      </c>
      <c r="C312" t="s">
        <v>56</v>
      </c>
      <c r="D312" t="s">
        <v>52</v>
      </c>
      <c r="E312">
        <v>2</v>
      </c>
      <c r="F312" t="s">
        <v>53</v>
      </c>
      <c r="G312" t="s">
        <v>50</v>
      </c>
      <c r="H312" t="s">
        <v>5</v>
      </c>
      <c r="I312" t="s">
        <v>5</v>
      </c>
      <c r="J312" s="1" t="s">
        <v>39</v>
      </c>
      <c r="K312" t="s">
        <v>39</v>
      </c>
      <c r="L312">
        <v>3</v>
      </c>
      <c r="M312" t="str">
        <f>IF(D312="Y","",IF(N312="Y",INDEX(#REF!,MATCH(C312,#REF!,0)),C312))</f>
        <v>6 - Junior Officer</v>
      </c>
      <c r="N312" t="s">
        <v>52</v>
      </c>
      <c r="O312" t="s">
        <v>40</v>
      </c>
      <c r="P312">
        <v>22</v>
      </c>
      <c r="Q312" t="s">
        <v>15</v>
      </c>
      <c r="R312" t="s">
        <v>45</v>
      </c>
      <c r="S312" t="s">
        <v>45</v>
      </c>
      <c r="T312" s="2">
        <v>42826</v>
      </c>
      <c r="U312">
        <v>3</v>
      </c>
      <c r="V312">
        <f t="shared" ca="1" si="4"/>
        <v>0.95432815863320564</v>
      </c>
    </row>
    <row r="313" spans="1:22">
      <c r="A313">
        <v>312</v>
      </c>
      <c r="B313" t="s">
        <v>0</v>
      </c>
      <c r="C313" t="s">
        <v>61</v>
      </c>
      <c r="D313" t="s">
        <v>52</v>
      </c>
      <c r="E313">
        <v>2</v>
      </c>
      <c r="F313" t="s">
        <v>53</v>
      </c>
      <c r="G313" t="s">
        <v>50</v>
      </c>
      <c r="H313" t="s">
        <v>5</v>
      </c>
      <c r="I313" t="s">
        <v>5</v>
      </c>
      <c r="J313" s="1" t="s">
        <v>39</v>
      </c>
      <c r="K313" t="s">
        <v>39</v>
      </c>
      <c r="L313">
        <v>4</v>
      </c>
      <c r="M313" t="str">
        <f>IF(D313="Y","",IF(N313="Y",INDEX(#REF!,MATCH(C313,#REF!,0)),C313))</f>
        <v>5 - Senior Officer</v>
      </c>
      <c r="N313" t="s">
        <v>52</v>
      </c>
      <c r="O313" t="s">
        <v>41</v>
      </c>
      <c r="P313">
        <v>34</v>
      </c>
      <c r="Q313" t="s">
        <v>19</v>
      </c>
      <c r="R313" t="s">
        <v>45</v>
      </c>
      <c r="S313" t="s">
        <v>45</v>
      </c>
      <c r="T313" s="2">
        <v>41000</v>
      </c>
      <c r="U313">
        <v>8</v>
      </c>
      <c r="V313">
        <f t="shared" ca="1" si="4"/>
        <v>0.68009009553614752</v>
      </c>
    </row>
    <row r="314" spans="1:22">
      <c r="A314">
        <v>313</v>
      </c>
      <c r="B314" t="s">
        <v>1</v>
      </c>
      <c r="C314" t="s">
        <v>56</v>
      </c>
      <c r="D314" t="s">
        <v>52</v>
      </c>
      <c r="E314">
        <v>2</v>
      </c>
      <c r="F314" t="s">
        <v>53</v>
      </c>
      <c r="G314" t="s">
        <v>50</v>
      </c>
      <c r="H314" t="s">
        <v>5</v>
      </c>
      <c r="I314" t="s">
        <v>5</v>
      </c>
      <c r="J314" s="1" t="s">
        <v>39</v>
      </c>
      <c r="K314" t="s">
        <v>39</v>
      </c>
      <c r="L314">
        <v>2</v>
      </c>
      <c r="M314" t="str">
        <f>IF(D314="Y","",IF(N314="Y",INDEX(#REF!,MATCH(C314,#REF!,0)),C314))</f>
        <v>6 - Junior Officer</v>
      </c>
      <c r="N314" t="s">
        <v>52</v>
      </c>
      <c r="O314" t="s">
        <v>40</v>
      </c>
      <c r="P314">
        <v>22</v>
      </c>
      <c r="Q314" t="s">
        <v>20</v>
      </c>
      <c r="R314" t="s">
        <v>45</v>
      </c>
      <c r="S314" t="s">
        <v>45</v>
      </c>
      <c r="T314" s="2">
        <v>43191</v>
      </c>
      <c r="U314">
        <v>2</v>
      </c>
      <c r="V314">
        <f t="shared" ca="1" si="4"/>
        <v>0.53629082138357653</v>
      </c>
    </row>
    <row r="315" spans="1:22">
      <c r="A315">
        <v>314</v>
      </c>
      <c r="B315" t="s">
        <v>0</v>
      </c>
      <c r="C315" t="s">
        <v>56</v>
      </c>
      <c r="D315" t="s">
        <v>50</v>
      </c>
      <c r="F315" t="s">
        <v>53</v>
      </c>
      <c r="G315" t="s">
        <v>52</v>
      </c>
      <c r="H315" t="s">
        <v>5</v>
      </c>
      <c r="I315" t="s">
        <v>5</v>
      </c>
      <c r="J315" s="1" t="s">
        <v>39</v>
      </c>
      <c r="K315" t="s">
        <v>39</v>
      </c>
      <c r="L315">
        <v>0</v>
      </c>
      <c r="M315" t="str">
        <f>IF(D315="Y","",IF(N315="Y",INDEX(#REF!,MATCH(C315,#REF!,0)),C315))</f>
        <v/>
      </c>
      <c r="N315" t="s">
        <v>52</v>
      </c>
      <c r="O315" t="s">
        <v>40</v>
      </c>
      <c r="P315">
        <v>24</v>
      </c>
      <c r="Q315" t="s">
        <v>20</v>
      </c>
      <c r="R315" t="s">
        <v>45</v>
      </c>
      <c r="S315" t="s">
        <v>45</v>
      </c>
      <c r="T315" s="2">
        <v>43922</v>
      </c>
      <c r="U315">
        <v>0</v>
      </c>
      <c r="V315">
        <f t="shared" ca="1" si="4"/>
        <v>0.99161596318336354</v>
      </c>
    </row>
    <row r="316" spans="1:22">
      <c r="A316">
        <v>315</v>
      </c>
      <c r="B316" t="s">
        <v>0</v>
      </c>
      <c r="C316" t="s">
        <v>56</v>
      </c>
      <c r="D316" t="s">
        <v>50</v>
      </c>
      <c r="F316" t="s">
        <v>53</v>
      </c>
      <c r="G316" t="s">
        <v>52</v>
      </c>
      <c r="H316" t="s">
        <v>5</v>
      </c>
      <c r="I316" t="s">
        <v>5</v>
      </c>
      <c r="J316" s="1">
        <v>0.7</v>
      </c>
      <c r="K316" t="s">
        <v>38</v>
      </c>
      <c r="L316">
        <v>0</v>
      </c>
      <c r="M316" t="str">
        <f>IF(D316="Y","",IF(N316="Y",INDEX(#REF!,MATCH(C316,#REF!,0)),C316))</f>
        <v/>
      </c>
      <c r="N316" t="s">
        <v>52</v>
      </c>
      <c r="O316" t="s">
        <v>40</v>
      </c>
      <c r="P316">
        <v>26</v>
      </c>
      <c r="Q316" t="s">
        <v>9</v>
      </c>
      <c r="R316" t="s">
        <v>9</v>
      </c>
      <c r="S316" t="s">
        <v>9</v>
      </c>
      <c r="T316" s="2">
        <v>43922</v>
      </c>
      <c r="U316">
        <v>0</v>
      </c>
      <c r="V316">
        <f t="shared" ca="1" si="4"/>
        <v>0.92940439179928214</v>
      </c>
    </row>
    <row r="317" spans="1:22">
      <c r="A317">
        <v>316</v>
      </c>
      <c r="B317" t="s">
        <v>1</v>
      </c>
      <c r="C317" t="s">
        <v>60</v>
      </c>
      <c r="D317" t="s">
        <v>52</v>
      </c>
      <c r="F317" t="s">
        <v>53</v>
      </c>
      <c r="G317" t="s">
        <v>50</v>
      </c>
      <c r="H317" t="s">
        <v>5</v>
      </c>
      <c r="I317" t="s">
        <v>5</v>
      </c>
      <c r="J317" s="1" t="s">
        <v>39</v>
      </c>
      <c r="K317" t="s">
        <v>39</v>
      </c>
      <c r="L317">
        <v>1</v>
      </c>
      <c r="M317" t="e">
        <f>IF(D317="Y","",IF(N317="Y",INDEX(#REF!,MATCH(C317,#REF!,0)),C317))</f>
        <v>#REF!</v>
      </c>
      <c r="N317" t="s">
        <v>50</v>
      </c>
      <c r="O317" t="s">
        <v>42</v>
      </c>
      <c r="P317">
        <v>48</v>
      </c>
      <c r="Q317" t="s">
        <v>20</v>
      </c>
      <c r="R317" t="s">
        <v>45</v>
      </c>
      <c r="S317" t="s">
        <v>45</v>
      </c>
      <c r="T317" s="2">
        <v>41365</v>
      </c>
      <c r="U317">
        <v>7</v>
      </c>
      <c r="V317">
        <f t="shared" ca="1" si="4"/>
        <v>0.68474812884006808</v>
      </c>
    </row>
    <row r="318" spans="1:22">
      <c r="A318">
        <v>317</v>
      </c>
      <c r="B318" t="s">
        <v>0</v>
      </c>
      <c r="C318" t="s">
        <v>56</v>
      </c>
      <c r="D318" t="s">
        <v>52</v>
      </c>
      <c r="E318">
        <v>1</v>
      </c>
      <c r="F318" t="s">
        <v>53</v>
      </c>
      <c r="G318" t="s">
        <v>50</v>
      </c>
      <c r="H318" t="s">
        <v>5</v>
      </c>
      <c r="I318" t="s">
        <v>5</v>
      </c>
      <c r="J318" s="1" t="s">
        <v>39</v>
      </c>
      <c r="K318" t="s">
        <v>39</v>
      </c>
      <c r="L318">
        <v>5</v>
      </c>
      <c r="M318" t="str">
        <f>IF(D318="Y","",IF(N318="Y",INDEX(#REF!,MATCH(C318,#REF!,0)),C318))</f>
        <v>6 - Junior Officer</v>
      </c>
      <c r="N318" t="s">
        <v>52</v>
      </c>
      <c r="O318" t="s">
        <v>40</v>
      </c>
      <c r="P318">
        <v>28</v>
      </c>
      <c r="Q318" t="s">
        <v>9</v>
      </c>
      <c r="R318" t="s">
        <v>9</v>
      </c>
      <c r="S318" t="s">
        <v>9</v>
      </c>
      <c r="T318" s="2">
        <v>42095</v>
      </c>
      <c r="U318">
        <v>5</v>
      </c>
      <c r="V318">
        <f t="shared" ca="1" si="4"/>
        <v>0.76875199666166683</v>
      </c>
    </row>
    <row r="319" spans="1:22">
      <c r="A319">
        <v>318</v>
      </c>
      <c r="B319" t="s">
        <v>0</v>
      </c>
      <c r="C319" t="s">
        <v>58</v>
      </c>
      <c r="D319" t="s">
        <v>50</v>
      </c>
      <c r="F319" t="s">
        <v>53</v>
      </c>
      <c r="G319" t="s">
        <v>52</v>
      </c>
      <c r="H319" t="s">
        <v>5</v>
      </c>
      <c r="I319" t="s">
        <v>5</v>
      </c>
      <c r="J319" s="1" t="s">
        <v>39</v>
      </c>
      <c r="K319" t="s">
        <v>39</v>
      </c>
      <c r="L319">
        <v>0</v>
      </c>
      <c r="M319" t="str">
        <f>IF(D319="Y","",IF(N319="Y",INDEX(#REF!,MATCH(C319,#REF!,0)),C319))</f>
        <v/>
      </c>
      <c r="N319" t="s">
        <v>52</v>
      </c>
      <c r="O319" t="s">
        <v>42</v>
      </c>
      <c r="P319">
        <v>43</v>
      </c>
      <c r="Q319" t="s">
        <v>19</v>
      </c>
      <c r="R319" t="s">
        <v>45</v>
      </c>
      <c r="S319" t="s">
        <v>45</v>
      </c>
      <c r="T319" s="2">
        <v>43922</v>
      </c>
      <c r="U319">
        <v>0</v>
      </c>
      <c r="V319">
        <f t="shared" ca="1" si="4"/>
        <v>0.88439192849134796</v>
      </c>
    </row>
    <row r="320" spans="1:22">
      <c r="A320">
        <v>319</v>
      </c>
      <c r="B320" t="s">
        <v>1</v>
      </c>
      <c r="C320" t="s">
        <v>56</v>
      </c>
      <c r="D320" t="s">
        <v>52</v>
      </c>
      <c r="E320">
        <v>1</v>
      </c>
      <c r="F320" t="s">
        <v>53</v>
      </c>
      <c r="G320" t="s">
        <v>50</v>
      </c>
      <c r="H320" t="s">
        <v>5</v>
      </c>
      <c r="I320" t="s">
        <v>5</v>
      </c>
      <c r="J320" s="1" t="s">
        <v>39</v>
      </c>
      <c r="K320" t="s">
        <v>39</v>
      </c>
      <c r="L320">
        <v>2</v>
      </c>
      <c r="M320" t="str">
        <f>IF(D320="Y","",IF(N320="Y",INDEX(#REF!,MATCH(C320,#REF!,0)),C320))</f>
        <v>6 - Junior Officer</v>
      </c>
      <c r="N320" t="s">
        <v>52</v>
      </c>
      <c r="O320" t="s">
        <v>40</v>
      </c>
      <c r="P320">
        <v>27</v>
      </c>
      <c r="Q320" t="s">
        <v>19</v>
      </c>
      <c r="R320" t="s">
        <v>45</v>
      </c>
      <c r="S320" t="s">
        <v>45</v>
      </c>
      <c r="T320" s="2">
        <v>43191</v>
      </c>
      <c r="U320">
        <v>2</v>
      </c>
      <c r="V320">
        <f t="shared" ca="1" si="4"/>
        <v>2.9501509167598527E-2</v>
      </c>
    </row>
    <row r="321" spans="1:22">
      <c r="A321">
        <v>320</v>
      </c>
      <c r="B321" t="s">
        <v>0</v>
      </c>
      <c r="C321" t="s">
        <v>61</v>
      </c>
      <c r="D321" t="s">
        <v>50</v>
      </c>
      <c r="F321" t="s">
        <v>53</v>
      </c>
      <c r="G321" t="s">
        <v>52</v>
      </c>
      <c r="H321" t="s">
        <v>7</v>
      </c>
      <c r="I321" t="s">
        <v>7</v>
      </c>
      <c r="J321" s="1" t="s">
        <v>39</v>
      </c>
      <c r="K321" t="s">
        <v>39</v>
      </c>
      <c r="L321">
        <v>0</v>
      </c>
      <c r="M321" t="str">
        <f>IF(D321="Y","",IF(N321="Y",INDEX(#REF!,MATCH(C321,#REF!,0)),C321))</f>
        <v/>
      </c>
      <c r="N321" t="s">
        <v>52</v>
      </c>
      <c r="O321" t="s">
        <v>41</v>
      </c>
      <c r="P321">
        <v>31</v>
      </c>
      <c r="Q321" t="s">
        <v>9</v>
      </c>
      <c r="R321" t="s">
        <v>9</v>
      </c>
      <c r="S321" t="s">
        <v>9</v>
      </c>
      <c r="T321" s="2">
        <v>43922</v>
      </c>
      <c r="U321">
        <v>0</v>
      </c>
      <c r="V321">
        <f t="shared" ca="1" si="4"/>
        <v>0.46074300405994628</v>
      </c>
    </row>
    <row r="322" spans="1:22">
      <c r="A322">
        <v>321</v>
      </c>
      <c r="B322" t="s">
        <v>1</v>
      </c>
      <c r="C322" t="s">
        <v>58</v>
      </c>
      <c r="D322" t="s">
        <v>52</v>
      </c>
      <c r="E322">
        <v>3</v>
      </c>
      <c r="F322" t="s">
        <v>53</v>
      </c>
      <c r="G322" t="s">
        <v>50</v>
      </c>
      <c r="H322" t="s">
        <v>5</v>
      </c>
      <c r="I322" t="s">
        <v>5</v>
      </c>
      <c r="J322" s="1" t="s">
        <v>39</v>
      </c>
      <c r="K322" t="s">
        <v>39</v>
      </c>
      <c r="L322">
        <v>3</v>
      </c>
      <c r="M322" t="str">
        <f>IF(D322="Y","",IF(N322="Y",INDEX(#REF!,MATCH(C322,#REF!,0)),C322))</f>
        <v>3 - Senior Manager</v>
      </c>
      <c r="N322" t="s">
        <v>52</v>
      </c>
      <c r="O322" t="s">
        <v>41</v>
      </c>
      <c r="P322">
        <v>38</v>
      </c>
      <c r="Q322" t="s">
        <v>9</v>
      </c>
      <c r="R322" t="s">
        <v>9</v>
      </c>
      <c r="S322" t="s">
        <v>9</v>
      </c>
      <c r="T322" s="2">
        <v>40634</v>
      </c>
      <c r="U322">
        <v>9</v>
      </c>
      <c r="V322">
        <f t="shared" ref="V322:V385" ca="1" si="5">RAND()</f>
        <v>0.52898971343185119</v>
      </c>
    </row>
    <row r="323" spans="1:22">
      <c r="A323">
        <v>322</v>
      </c>
      <c r="B323" t="s">
        <v>0</v>
      </c>
      <c r="C323" t="s">
        <v>58</v>
      </c>
      <c r="D323" t="s">
        <v>52</v>
      </c>
      <c r="E323">
        <v>3</v>
      </c>
      <c r="F323" t="s">
        <v>53</v>
      </c>
      <c r="G323" t="s">
        <v>50</v>
      </c>
      <c r="H323" t="s">
        <v>6</v>
      </c>
      <c r="I323" t="s">
        <v>6</v>
      </c>
      <c r="J323" s="1" t="s">
        <v>39</v>
      </c>
      <c r="K323" t="s">
        <v>39</v>
      </c>
      <c r="L323">
        <v>3</v>
      </c>
      <c r="M323" t="str">
        <f>IF(D323="Y","",IF(N323="Y",INDEX(#REF!,MATCH(C323,#REF!,0)),C323))</f>
        <v>3 - Senior Manager</v>
      </c>
      <c r="N323" t="s">
        <v>52</v>
      </c>
      <c r="O323" t="s">
        <v>42</v>
      </c>
      <c r="P323">
        <v>43</v>
      </c>
      <c r="Q323" t="s">
        <v>9</v>
      </c>
      <c r="R323" t="s">
        <v>9</v>
      </c>
      <c r="S323" t="s">
        <v>9</v>
      </c>
      <c r="T323" s="2">
        <v>42461</v>
      </c>
      <c r="U323">
        <v>4</v>
      </c>
      <c r="V323">
        <f t="shared" ca="1" si="5"/>
        <v>0.73311138684641508</v>
      </c>
    </row>
    <row r="324" spans="1:22">
      <c r="A324">
        <v>323</v>
      </c>
      <c r="B324" t="s">
        <v>1</v>
      </c>
      <c r="C324" t="s">
        <v>61</v>
      </c>
      <c r="D324" t="s">
        <v>52</v>
      </c>
      <c r="E324">
        <v>2</v>
      </c>
      <c r="F324" t="s">
        <v>53</v>
      </c>
      <c r="G324" t="s">
        <v>50</v>
      </c>
      <c r="H324" t="s">
        <v>7</v>
      </c>
      <c r="I324" t="s">
        <v>7</v>
      </c>
      <c r="J324" s="1" t="s">
        <v>39</v>
      </c>
      <c r="K324" t="s">
        <v>39</v>
      </c>
      <c r="L324">
        <v>3</v>
      </c>
      <c r="M324" t="str">
        <f>IF(D324="Y","",IF(N324="Y",INDEX(#REF!,MATCH(C324,#REF!,0)),C324))</f>
        <v>5 - Senior Officer</v>
      </c>
      <c r="N324" t="s">
        <v>52</v>
      </c>
      <c r="O324" t="s">
        <v>40</v>
      </c>
      <c r="P324">
        <v>24</v>
      </c>
      <c r="Q324" t="s">
        <v>9</v>
      </c>
      <c r="R324" t="s">
        <v>9</v>
      </c>
      <c r="S324" t="s">
        <v>9</v>
      </c>
      <c r="T324" s="2">
        <v>42826</v>
      </c>
      <c r="U324">
        <v>3</v>
      </c>
      <c r="V324">
        <f t="shared" ca="1" si="5"/>
        <v>0.82195610248155204</v>
      </c>
    </row>
    <row r="325" spans="1:22">
      <c r="A325">
        <v>324</v>
      </c>
      <c r="B325" t="s">
        <v>1</v>
      </c>
      <c r="C325" t="s">
        <v>58</v>
      </c>
      <c r="D325" t="s">
        <v>52</v>
      </c>
      <c r="E325">
        <v>2</v>
      </c>
      <c r="F325" t="s">
        <v>53</v>
      </c>
      <c r="G325" t="s">
        <v>50</v>
      </c>
      <c r="H325" t="s">
        <v>6</v>
      </c>
      <c r="I325" t="s">
        <v>6</v>
      </c>
      <c r="J325" s="1" t="s">
        <v>39</v>
      </c>
      <c r="K325" t="s">
        <v>39</v>
      </c>
      <c r="L325">
        <v>1</v>
      </c>
      <c r="M325" t="e">
        <f>IF(D325="Y","",IF(N325="Y",INDEX(#REF!,MATCH(C325,#REF!,0)),C325))</f>
        <v>#REF!</v>
      </c>
      <c r="N325" t="s">
        <v>50</v>
      </c>
      <c r="O325" t="s">
        <v>41</v>
      </c>
      <c r="P325">
        <v>35</v>
      </c>
      <c r="Q325" t="s">
        <v>9</v>
      </c>
      <c r="R325" t="s">
        <v>9</v>
      </c>
      <c r="S325" t="s">
        <v>9</v>
      </c>
      <c r="T325" s="2">
        <v>41365</v>
      </c>
      <c r="U325">
        <v>7</v>
      </c>
      <c r="V325">
        <f t="shared" ca="1" si="5"/>
        <v>1.9427979293598185E-2</v>
      </c>
    </row>
    <row r="326" spans="1:22">
      <c r="A326">
        <v>325</v>
      </c>
      <c r="B326" t="s">
        <v>0</v>
      </c>
      <c r="C326" t="s">
        <v>61</v>
      </c>
      <c r="D326" t="s">
        <v>52</v>
      </c>
      <c r="E326">
        <v>2</v>
      </c>
      <c r="F326" t="s">
        <v>53</v>
      </c>
      <c r="G326" t="s">
        <v>50</v>
      </c>
      <c r="H326" t="s">
        <v>5</v>
      </c>
      <c r="I326" t="s">
        <v>5</v>
      </c>
      <c r="J326" s="1">
        <v>0.6</v>
      </c>
      <c r="K326" t="s">
        <v>38</v>
      </c>
      <c r="L326">
        <v>2</v>
      </c>
      <c r="M326" t="str">
        <f>IF(D326="Y","",IF(N326="Y",INDEX(#REF!,MATCH(C326,#REF!,0)),C326))</f>
        <v>5 - Senior Officer</v>
      </c>
      <c r="N326" t="s">
        <v>52</v>
      </c>
      <c r="O326" t="s">
        <v>41</v>
      </c>
      <c r="P326">
        <v>30</v>
      </c>
      <c r="Q326" t="s">
        <v>9</v>
      </c>
      <c r="R326" t="s">
        <v>9</v>
      </c>
      <c r="S326" t="s">
        <v>9</v>
      </c>
      <c r="T326" s="2">
        <v>42461</v>
      </c>
      <c r="U326">
        <v>4</v>
      </c>
      <c r="V326">
        <f t="shared" ca="1" si="5"/>
        <v>0.5314700104335035</v>
      </c>
    </row>
    <row r="327" spans="1:22">
      <c r="A327">
        <v>326</v>
      </c>
      <c r="B327" t="s">
        <v>1</v>
      </c>
      <c r="C327" t="s">
        <v>59</v>
      </c>
      <c r="D327" t="s">
        <v>52</v>
      </c>
      <c r="E327">
        <v>2</v>
      </c>
      <c r="F327" t="s">
        <v>53</v>
      </c>
      <c r="G327" t="s">
        <v>50</v>
      </c>
      <c r="H327" t="s">
        <v>7</v>
      </c>
      <c r="I327" t="s">
        <v>7</v>
      </c>
      <c r="J327" s="1" t="s">
        <v>39</v>
      </c>
      <c r="K327" t="s">
        <v>39</v>
      </c>
      <c r="L327">
        <v>3</v>
      </c>
      <c r="M327" t="str">
        <f>IF(D327="Y","",IF(N327="Y",INDEX(#REF!,MATCH(C327,#REF!,0)),C327))</f>
        <v>2 - Director</v>
      </c>
      <c r="N327" t="s">
        <v>52</v>
      </c>
      <c r="O327" t="s">
        <v>41</v>
      </c>
      <c r="P327">
        <v>37</v>
      </c>
      <c r="Q327" t="s">
        <v>20</v>
      </c>
      <c r="R327" t="s">
        <v>45</v>
      </c>
      <c r="S327" t="s">
        <v>45</v>
      </c>
      <c r="T327" s="2">
        <v>42095</v>
      </c>
      <c r="U327">
        <v>5</v>
      </c>
      <c r="V327">
        <f t="shared" ca="1" si="5"/>
        <v>0.95052286946509534</v>
      </c>
    </row>
    <row r="328" spans="1:22">
      <c r="A328">
        <v>327</v>
      </c>
      <c r="B328" t="s">
        <v>1</v>
      </c>
      <c r="C328" t="s">
        <v>57</v>
      </c>
      <c r="D328" t="s">
        <v>52</v>
      </c>
      <c r="E328">
        <v>3</v>
      </c>
      <c r="F328" t="s">
        <v>53</v>
      </c>
      <c r="G328" t="s">
        <v>50</v>
      </c>
      <c r="H328" t="s">
        <v>7</v>
      </c>
      <c r="I328" t="s">
        <v>7</v>
      </c>
      <c r="J328" s="1" t="s">
        <v>39</v>
      </c>
      <c r="K328" t="s">
        <v>39</v>
      </c>
      <c r="L328">
        <v>1</v>
      </c>
      <c r="M328" t="e">
        <f>IF(D328="Y","",IF(N328="Y",INDEX(#REF!,MATCH(C328,#REF!,0)),C328))</f>
        <v>#REF!</v>
      </c>
      <c r="N328" t="s">
        <v>50</v>
      </c>
      <c r="O328" t="s">
        <v>42</v>
      </c>
      <c r="P328">
        <v>40</v>
      </c>
      <c r="Q328" t="s">
        <v>9</v>
      </c>
      <c r="R328" t="s">
        <v>9</v>
      </c>
      <c r="S328" t="s">
        <v>9</v>
      </c>
      <c r="T328" s="2">
        <v>41730</v>
      </c>
      <c r="U328">
        <v>6</v>
      </c>
      <c r="V328">
        <f t="shared" ca="1" si="5"/>
        <v>0.9723009476064538</v>
      </c>
    </row>
    <row r="329" spans="1:22">
      <c r="A329">
        <v>328</v>
      </c>
      <c r="B329" t="s">
        <v>0</v>
      </c>
      <c r="C329" t="s">
        <v>61</v>
      </c>
      <c r="D329" t="s">
        <v>52</v>
      </c>
      <c r="E329">
        <v>3</v>
      </c>
      <c r="F329" t="s">
        <v>53</v>
      </c>
      <c r="G329" t="s">
        <v>50</v>
      </c>
      <c r="H329" t="s">
        <v>5</v>
      </c>
      <c r="I329" t="s">
        <v>5</v>
      </c>
      <c r="J329" s="1" t="s">
        <v>39</v>
      </c>
      <c r="K329" t="s">
        <v>39</v>
      </c>
      <c r="L329">
        <v>3</v>
      </c>
      <c r="M329" t="str">
        <f>IF(D329="Y","",IF(N329="Y",INDEX(#REF!,MATCH(C329,#REF!,0)),C329))</f>
        <v>5 - Senior Officer</v>
      </c>
      <c r="N329" t="s">
        <v>52</v>
      </c>
      <c r="O329" t="s">
        <v>41</v>
      </c>
      <c r="P329">
        <v>30</v>
      </c>
      <c r="Q329" t="s">
        <v>19</v>
      </c>
      <c r="R329" t="s">
        <v>45</v>
      </c>
      <c r="S329" t="s">
        <v>45</v>
      </c>
      <c r="T329" s="2">
        <v>41730</v>
      </c>
      <c r="U329">
        <v>6</v>
      </c>
      <c r="V329">
        <f t="shared" ca="1" si="5"/>
        <v>0.16830134347379733</v>
      </c>
    </row>
    <row r="330" spans="1:22">
      <c r="A330">
        <v>329</v>
      </c>
      <c r="B330" t="s">
        <v>0</v>
      </c>
      <c r="C330" t="s">
        <v>57</v>
      </c>
      <c r="D330" t="s">
        <v>52</v>
      </c>
      <c r="F330" t="s">
        <v>51</v>
      </c>
      <c r="G330" t="s">
        <v>50</v>
      </c>
      <c r="H330" t="s">
        <v>7</v>
      </c>
      <c r="I330" t="s">
        <v>7</v>
      </c>
      <c r="J330" s="1" t="s">
        <v>39</v>
      </c>
      <c r="K330" t="s">
        <v>39</v>
      </c>
      <c r="L330">
        <v>2</v>
      </c>
      <c r="M330" t="str">
        <f>IF(D330="Y","",IF(N330="Y",INDEX(#REF!,MATCH(C330,#REF!,0)),C330))</f>
        <v>4 - Manager</v>
      </c>
      <c r="N330" t="s">
        <v>52</v>
      </c>
      <c r="O330" t="s">
        <v>42</v>
      </c>
      <c r="P330">
        <v>45</v>
      </c>
      <c r="Q330" t="s">
        <v>15</v>
      </c>
      <c r="R330" t="s">
        <v>45</v>
      </c>
      <c r="S330" t="s">
        <v>45</v>
      </c>
      <c r="T330" s="2">
        <v>41365</v>
      </c>
      <c r="U330">
        <v>7</v>
      </c>
      <c r="V330">
        <f t="shared" ca="1" si="5"/>
        <v>0.28738284156286364</v>
      </c>
    </row>
    <row r="331" spans="1:22">
      <c r="A331">
        <v>330</v>
      </c>
      <c r="B331" t="s">
        <v>0</v>
      </c>
      <c r="C331" s="3" t="s">
        <v>57</v>
      </c>
      <c r="D331" t="s">
        <v>52</v>
      </c>
      <c r="E331">
        <v>3</v>
      </c>
      <c r="F331" t="s">
        <v>51</v>
      </c>
      <c r="G331" t="s">
        <v>50</v>
      </c>
      <c r="H331" t="s">
        <v>5</v>
      </c>
      <c r="I331" t="s">
        <v>5</v>
      </c>
      <c r="J331" s="1">
        <v>0.9</v>
      </c>
      <c r="K331" t="s">
        <v>38</v>
      </c>
      <c r="L331">
        <v>3</v>
      </c>
      <c r="M331" t="str">
        <f>IF(D331="Y","",IF(N331="Y",INDEX(#REF!,MATCH(C331,#REF!,0)),C331))</f>
        <v>4 - Manager</v>
      </c>
      <c r="N331" t="s">
        <v>52</v>
      </c>
      <c r="O331" t="s">
        <v>43</v>
      </c>
      <c r="P331">
        <v>51</v>
      </c>
      <c r="Q331" t="s">
        <v>9</v>
      </c>
      <c r="R331" t="s">
        <v>9</v>
      </c>
      <c r="S331" t="s">
        <v>9</v>
      </c>
      <c r="T331" s="2">
        <v>42095</v>
      </c>
      <c r="U331">
        <v>5</v>
      </c>
      <c r="V331">
        <f t="shared" ca="1" si="5"/>
        <v>0.4908438104138434</v>
      </c>
    </row>
    <row r="332" spans="1:22">
      <c r="A332">
        <v>331</v>
      </c>
      <c r="B332" t="s">
        <v>0</v>
      </c>
      <c r="C332" t="s">
        <v>56</v>
      </c>
      <c r="D332" t="s">
        <v>52</v>
      </c>
      <c r="E332">
        <v>2</v>
      </c>
      <c r="F332" t="s">
        <v>53</v>
      </c>
      <c r="G332" t="s">
        <v>50</v>
      </c>
      <c r="H332" t="s">
        <v>7</v>
      </c>
      <c r="I332" t="s">
        <v>7</v>
      </c>
      <c r="J332" s="1" t="s">
        <v>39</v>
      </c>
      <c r="K332" t="s">
        <v>39</v>
      </c>
      <c r="L332">
        <v>3</v>
      </c>
      <c r="M332" t="str">
        <f>IF(D332="Y","",IF(N332="Y",INDEX(#REF!,MATCH(C332,#REF!,0)),C332))</f>
        <v>6 - Junior Officer</v>
      </c>
      <c r="N332" t="s">
        <v>52</v>
      </c>
      <c r="O332" t="s">
        <v>40</v>
      </c>
      <c r="P332">
        <v>24</v>
      </c>
      <c r="Q332" t="s">
        <v>9</v>
      </c>
      <c r="R332" t="s">
        <v>9</v>
      </c>
      <c r="S332" t="s">
        <v>9</v>
      </c>
      <c r="T332" s="2">
        <v>42826</v>
      </c>
      <c r="U332">
        <v>3</v>
      </c>
      <c r="V332">
        <f t="shared" ca="1" si="5"/>
        <v>0.80822262404933798</v>
      </c>
    </row>
    <row r="333" spans="1:22">
      <c r="A333">
        <v>332</v>
      </c>
      <c r="B333" t="s">
        <v>1</v>
      </c>
      <c r="C333" t="s">
        <v>56</v>
      </c>
      <c r="D333" t="s">
        <v>52</v>
      </c>
      <c r="E333">
        <v>2</v>
      </c>
      <c r="F333" t="s">
        <v>53</v>
      </c>
      <c r="G333" t="s">
        <v>50</v>
      </c>
      <c r="H333" t="s">
        <v>5</v>
      </c>
      <c r="I333" t="s">
        <v>5</v>
      </c>
      <c r="J333" s="1" t="s">
        <v>39</v>
      </c>
      <c r="K333" t="s">
        <v>39</v>
      </c>
      <c r="L333">
        <v>2</v>
      </c>
      <c r="M333" t="str">
        <f>IF(D333="Y","",IF(N333="Y",INDEX(#REF!,MATCH(C333,#REF!,0)),C333))</f>
        <v>6 - Junior Officer</v>
      </c>
      <c r="N333" t="s">
        <v>52</v>
      </c>
      <c r="O333" t="s">
        <v>40</v>
      </c>
      <c r="P333">
        <v>21</v>
      </c>
      <c r="Q333" t="s">
        <v>9</v>
      </c>
      <c r="R333" t="s">
        <v>9</v>
      </c>
      <c r="S333" t="s">
        <v>9</v>
      </c>
      <c r="T333" s="2">
        <v>43191</v>
      </c>
      <c r="U333">
        <v>2</v>
      </c>
      <c r="V333">
        <f t="shared" ca="1" si="5"/>
        <v>0.69109626838023452</v>
      </c>
    </row>
    <row r="334" spans="1:22">
      <c r="A334">
        <v>333</v>
      </c>
      <c r="B334" t="s">
        <v>1</v>
      </c>
      <c r="C334" t="s">
        <v>56</v>
      </c>
      <c r="D334" t="s">
        <v>52</v>
      </c>
      <c r="E334">
        <v>3</v>
      </c>
      <c r="F334" t="s">
        <v>53</v>
      </c>
      <c r="G334" t="s">
        <v>50</v>
      </c>
      <c r="H334" t="s">
        <v>7</v>
      </c>
      <c r="I334" t="s">
        <v>7</v>
      </c>
      <c r="J334" s="1" t="s">
        <v>39</v>
      </c>
      <c r="K334" t="s">
        <v>39</v>
      </c>
      <c r="L334">
        <v>1</v>
      </c>
      <c r="M334" t="str">
        <f>IF(D334="Y","",IF(N334="Y",INDEX(#REF!,MATCH(C334,#REF!,0)),C334))</f>
        <v>6 - Junior Officer</v>
      </c>
      <c r="N334" t="s">
        <v>52</v>
      </c>
      <c r="O334" t="s">
        <v>40</v>
      </c>
      <c r="P334">
        <v>26</v>
      </c>
      <c r="Q334" t="s">
        <v>9</v>
      </c>
      <c r="R334" t="s">
        <v>9</v>
      </c>
      <c r="S334" t="s">
        <v>9</v>
      </c>
      <c r="T334" s="2">
        <v>43556</v>
      </c>
      <c r="U334">
        <v>1</v>
      </c>
      <c r="V334">
        <f t="shared" ca="1" si="5"/>
        <v>0.30214411141583031</v>
      </c>
    </row>
    <row r="335" spans="1:22">
      <c r="A335">
        <v>334</v>
      </c>
      <c r="B335" t="s">
        <v>1</v>
      </c>
      <c r="C335" t="s">
        <v>56</v>
      </c>
      <c r="D335" t="s">
        <v>52</v>
      </c>
      <c r="E335">
        <v>3</v>
      </c>
      <c r="F335" t="s">
        <v>53</v>
      </c>
      <c r="G335" t="s">
        <v>50</v>
      </c>
      <c r="H335" t="s">
        <v>6</v>
      </c>
      <c r="I335" t="s">
        <v>6</v>
      </c>
      <c r="J335" s="1" t="s">
        <v>39</v>
      </c>
      <c r="K335" t="s">
        <v>39</v>
      </c>
      <c r="L335">
        <v>2</v>
      </c>
      <c r="M335" t="str">
        <f>IF(D335="Y","",IF(N335="Y",INDEX(#REF!,MATCH(C335,#REF!,0)),C335))</f>
        <v>6 - Junior Officer</v>
      </c>
      <c r="N335" t="s">
        <v>52</v>
      </c>
      <c r="O335" t="s">
        <v>63</v>
      </c>
      <c r="P335">
        <v>19</v>
      </c>
      <c r="Q335" t="s">
        <v>19</v>
      </c>
      <c r="R335" t="s">
        <v>45</v>
      </c>
      <c r="S335" t="s">
        <v>45</v>
      </c>
      <c r="T335" s="2">
        <v>43191</v>
      </c>
      <c r="U335">
        <v>2</v>
      </c>
      <c r="V335">
        <f t="shared" ca="1" si="5"/>
        <v>0.75914356497639524</v>
      </c>
    </row>
    <row r="336" spans="1:22">
      <c r="A336">
        <v>335</v>
      </c>
      <c r="B336" t="s">
        <v>0</v>
      </c>
      <c r="C336" t="s">
        <v>56</v>
      </c>
      <c r="D336" t="s">
        <v>52</v>
      </c>
      <c r="E336">
        <v>3</v>
      </c>
      <c r="F336" t="s">
        <v>53</v>
      </c>
      <c r="G336" t="s">
        <v>50</v>
      </c>
      <c r="H336" t="s">
        <v>5</v>
      </c>
      <c r="I336" t="s">
        <v>5</v>
      </c>
      <c r="J336" s="1" t="s">
        <v>39</v>
      </c>
      <c r="K336" t="s">
        <v>39</v>
      </c>
      <c r="L336">
        <v>3</v>
      </c>
      <c r="M336" t="str">
        <f>IF(D336="Y","",IF(N336="Y",INDEX(#REF!,MATCH(C336,#REF!,0)),C336))</f>
        <v>6 - Junior Officer</v>
      </c>
      <c r="N336" t="s">
        <v>52</v>
      </c>
      <c r="O336" t="s">
        <v>40</v>
      </c>
      <c r="P336">
        <v>22</v>
      </c>
      <c r="Q336" t="s">
        <v>9</v>
      </c>
      <c r="R336" t="s">
        <v>9</v>
      </c>
      <c r="S336" t="s">
        <v>9</v>
      </c>
      <c r="T336" s="2">
        <v>42826</v>
      </c>
      <c r="U336">
        <v>3</v>
      </c>
      <c r="V336">
        <f t="shared" ca="1" si="5"/>
        <v>0.5412742540169927</v>
      </c>
    </row>
    <row r="337" spans="1:22">
      <c r="A337">
        <v>336</v>
      </c>
      <c r="B337" t="s">
        <v>1</v>
      </c>
      <c r="C337" t="s">
        <v>56</v>
      </c>
      <c r="D337" t="s">
        <v>52</v>
      </c>
      <c r="E337">
        <v>2</v>
      </c>
      <c r="F337" t="s">
        <v>53</v>
      </c>
      <c r="G337" t="s">
        <v>50</v>
      </c>
      <c r="H337" t="s">
        <v>7</v>
      </c>
      <c r="I337" t="s">
        <v>7</v>
      </c>
      <c r="J337" s="1" t="s">
        <v>39</v>
      </c>
      <c r="K337" t="s">
        <v>39</v>
      </c>
      <c r="L337">
        <v>3</v>
      </c>
      <c r="M337" t="str">
        <f>IF(D337="Y","",IF(N337="Y",INDEX(#REF!,MATCH(C337,#REF!,0)),C337))</f>
        <v>6 - Junior Officer</v>
      </c>
      <c r="N337" t="s">
        <v>52</v>
      </c>
      <c r="O337" t="s">
        <v>40</v>
      </c>
      <c r="P337">
        <v>21</v>
      </c>
      <c r="Q337" t="s">
        <v>20</v>
      </c>
      <c r="R337" t="s">
        <v>45</v>
      </c>
      <c r="S337" t="s">
        <v>45</v>
      </c>
      <c r="T337" s="2">
        <v>42826</v>
      </c>
      <c r="U337">
        <v>3</v>
      </c>
      <c r="V337">
        <f t="shared" ca="1" si="5"/>
        <v>0.30719221084005321</v>
      </c>
    </row>
    <row r="338" spans="1:22">
      <c r="A338">
        <v>337</v>
      </c>
      <c r="B338" t="s">
        <v>1</v>
      </c>
      <c r="C338" t="s">
        <v>59</v>
      </c>
      <c r="D338" t="s">
        <v>52</v>
      </c>
      <c r="E338">
        <v>2</v>
      </c>
      <c r="F338" t="s">
        <v>53</v>
      </c>
      <c r="G338" t="s">
        <v>50</v>
      </c>
      <c r="H338" t="s">
        <v>8</v>
      </c>
      <c r="I338" t="s">
        <v>8</v>
      </c>
      <c r="J338" s="1" t="s">
        <v>39</v>
      </c>
      <c r="K338" t="s">
        <v>39</v>
      </c>
      <c r="L338">
        <v>4</v>
      </c>
      <c r="M338" t="str">
        <f>IF(D338="Y","",IF(N338="Y",INDEX(#REF!,MATCH(C338,#REF!,0)),C338))</f>
        <v>2 - Director</v>
      </c>
      <c r="N338" t="s">
        <v>52</v>
      </c>
      <c r="O338" t="s">
        <v>42</v>
      </c>
      <c r="P338">
        <v>43</v>
      </c>
      <c r="Q338" t="s">
        <v>9</v>
      </c>
      <c r="R338" t="s">
        <v>9</v>
      </c>
      <c r="S338" t="s">
        <v>9</v>
      </c>
      <c r="T338" s="2">
        <v>42461</v>
      </c>
      <c r="U338">
        <v>4</v>
      </c>
      <c r="V338">
        <f t="shared" ca="1" si="5"/>
        <v>0.17039227208953311</v>
      </c>
    </row>
    <row r="339" spans="1:22">
      <c r="A339">
        <v>338</v>
      </c>
      <c r="B339" t="s">
        <v>0</v>
      </c>
      <c r="C339" t="s">
        <v>56</v>
      </c>
      <c r="D339" t="s">
        <v>52</v>
      </c>
      <c r="E339">
        <v>2</v>
      </c>
      <c r="F339" t="s">
        <v>53</v>
      </c>
      <c r="G339" t="s">
        <v>50</v>
      </c>
      <c r="H339" t="s">
        <v>5</v>
      </c>
      <c r="I339" t="s">
        <v>5</v>
      </c>
      <c r="J339" s="1" t="s">
        <v>39</v>
      </c>
      <c r="K339" t="s">
        <v>39</v>
      </c>
      <c r="L339">
        <v>2</v>
      </c>
      <c r="M339" t="str">
        <f>IF(D339="Y","",IF(N339="Y",INDEX(#REF!,MATCH(C339,#REF!,0)),C339))</f>
        <v>6 - Junior Officer</v>
      </c>
      <c r="N339" t="s">
        <v>52</v>
      </c>
      <c r="O339" t="s">
        <v>40</v>
      </c>
      <c r="P339">
        <v>26</v>
      </c>
      <c r="Q339" t="s">
        <v>20</v>
      </c>
      <c r="R339" t="s">
        <v>45</v>
      </c>
      <c r="S339" t="s">
        <v>45</v>
      </c>
      <c r="T339" s="2">
        <v>43191</v>
      </c>
      <c r="U339">
        <v>2</v>
      </c>
      <c r="V339">
        <f t="shared" ca="1" si="5"/>
        <v>0.63741370357182792</v>
      </c>
    </row>
    <row r="340" spans="1:22">
      <c r="A340">
        <v>339</v>
      </c>
      <c r="B340" t="s">
        <v>0</v>
      </c>
      <c r="C340" t="s">
        <v>57</v>
      </c>
      <c r="D340" t="s">
        <v>52</v>
      </c>
      <c r="E340">
        <v>3</v>
      </c>
      <c r="F340" t="s">
        <v>53</v>
      </c>
      <c r="G340" t="s">
        <v>50</v>
      </c>
      <c r="H340" t="s">
        <v>7</v>
      </c>
      <c r="I340" t="s">
        <v>7</v>
      </c>
      <c r="J340" s="1" t="s">
        <v>39</v>
      </c>
      <c r="K340" t="s">
        <v>39</v>
      </c>
      <c r="L340">
        <v>3</v>
      </c>
      <c r="M340" t="str">
        <f>IF(D340="Y","",IF(N340="Y",INDEX(#REF!,MATCH(C340,#REF!,0)),C340))</f>
        <v>4 - Manager</v>
      </c>
      <c r="N340" t="s">
        <v>52</v>
      </c>
      <c r="O340" t="s">
        <v>41</v>
      </c>
      <c r="P340">
        <v>35</v>
      </c>
      <c r="Q340" t="s">
        <v>9</v>
      </c>
      <c r="R340" t="s">
        <v>9</v>
      </c>
      <c r="S340" t="s">
        <v>9</v>
      </c>
      <c r="T340" s="2">
        <v>42461</v>
      </c>
      <c r="U340">
        <v>4</v>
      </c>
      <c r="V340">
        <f t="shared" ca="1" si="5"/>
        <v>0.2379350434206744</v>
      </c>
    </row>
    <row r="341" spans="1:22">
      <c r="A341">
        <v>340</v>
      </c>
      <c r="B341" t="s">
        <v>1</v>
      </c>
      <c r="C341" t="s">
        <v>61</v>
      </c>
      <c r="D341" t="s">
        <v>52</v>
      </c>
      <c r="E341">
        <v>2</v>
      </c>
      <c r="F341" t="s">
        <v>53</v>
      </c>
      <c r="G341" t="s">
        <v>50</v>
      </c>
      <c r="H341" t="s">
        <v>6</v>
      </c>
      <c r="I341" t="s">
        <v>6</v>
      </c>
      <c r="J341" s="1" t="s">
        <v>39</v>
      </c>
      <c r="K341" t="s">
        <v>39</v>
      </c>
      <c r="L341">
        <v>2</v>
      </c>
      <c r="M341" t="str">
        <f>IF(D341="Y","",IF(N341="Y",INDEX(#REF!,MATCH(C341,#REF!,0)),C341))</f>
        <v>5 - Senior Officer</v>
      </c>
      <c r="N341" t="s">
        <v>52</v>
      </c>
      <c r="O341" t="s">
        <v>40</v>
      </c>
      <c r="P341">
        <v>25</v>
      </c>
      <c r="Q341" t="s">
        <v>20</v>
      </c>
      <c r="R341" t="s">
        <v>45</v>
      </c>
      <c r="S341" t="s">
        <v>45</v>
      </c>
      <c r="T341" s="2">
        <v>41730</v>
      </c>
      <c r="U341">
        <v>6</v>
      </c>
      <c r="V341">
        <f t="shared" ca="1" si="5"/>
        <v>0.48495044444521762</v>
      </c>
    </row>
    <row r="342" spans="1:22">
      <c r="A342">
        <v>341</v>
      </c>
      <c r="B342" t="s">
        <v>0</v>
      </c>
      <c r="C342" t="s">
        <v>56</v>
      </c>
      <c r="D342" t="s">
        <v>50</v>
      </c>
      <c r="F342" t="s">
        <v>53</v>
      </c>
      <c r="G342" t="s">
        <v>52</v>
      </c>
      <c r="H342" t="s">
        <v>7</v>
      </c>
      <c r="I342" t="s">
        <v>7</v>
      </c>
      <c r="J342" s="1" t="s">
        <v>39</v>
      </c>
      <c r="K342" t="s">
        <v>39</v>
      </c>
      <c r="L342">
        <v>0</v>
      </c>
      <c r="M342" t="str">
        <f>IF(D342="Y","",IF(N342="Y",INDEX(#REF!,MATCH(C342,#REF!,0)),C342))</f>
        <v/>
      </c>
      <c r="N342" t="s">
        <v>52</v>
      </c>
      <c r="O342" t="s">
        <v>40</v>
      </c>
      <c r="P342">
        <v>26</v>
      </c>
      <c r="Q342" t="s">
        <v>9</v>
      </c>
      <c r="R342" t="s">
        <v>9</v>
      </c>
      <c r="S342" t="s">
        <v>9</v>
      </c>
      <c r="T342" s="2">
        <v>43922</v>
      </c>
      <c r="U342">
        <v>0</v>
      </c>
      <c r="V342">
        <f t="shared" ca="1" si="5"/>
        <v>2.5986301992048988E-2</v>
      </c>
    </row>
    <row r="343" spans="1:22">
      <c r="A343">
        <v>342</v>
      </c>
      <c r="B343" t="s">
        <v>0</v>
      </c>
      <c r="C343" t="s">
        <v>57</v>
      </c>
      <c r="D343" t="s">
        <v>52</v>
      </c>
      <c r="E343">
        <v>3</v>
      </c>
      <c r="F343" t="s">
        <v>53</v>
      </c>
      <c r="G343" t="s">
        <v>50</v>
      </c>
      <c r="H343" t="s">
        <v>3</v>
      </c>
      <c r="I343" t="s">
        <v>3</v>
      </c>
      <c r="J343" s="1">
        <v>0.9</v>
      </c>
      <c r="K343" t="s">
        <v>38</v>
      </c>
      <c r="L343">
        <v>3</v>
      </c>
      <c r="M343" t="str">
        <f>IF(D343="Y","",IF(N343="Y",INDEX(#REF!,MATCH(C343,#REF!,0)),C343))</f>
        <v>4 - Manager</v>
      </c>
      <c r="N343" t="s">
        <v>52</v>
      </c>
      <c r="O343" t="s">
        <v>41</v>
      </c>
      <c r="P343">
        <v>36</v>
      </c>
      <c r="Q343" t="s">
        <v>9</v>
      </c>
      <c r="R343" t="s">
        <v>9</v>
      </c>
      <c r="S343" t="s">
        <v>9</v>
      </c>
      <c r="T343" s="2">
        <v>42826</v>
      </c>
      <c r="U343">
        <v>3</v>
      </c>
      <c r="V343">
        <f t="shared" ca="1" si="5"/>
        <v>8.8124208079464972E-2</v>
      </c>
    </row>
    <row r="344" spans="1:22">
      <c r="A344">
        <v>343</v>
      </c>
      <c r="B344" t="s">
        <v>0</v>
      </c>
      <c r="C344" t="s">
        <v>60</v>
      </c>
      <c r="D344" t="s">
        <v>52</v>
      </c>
      <c r="F344" t="s">
        <v>53</v>
      </c>
      <c r="G344" t="s">
        <v>50</v>
      </c>
      <c r="H344" t="s">
        <v>4</v>
      </c>
      <c r="I344" t="s">
        <v>4</v>
      </c>
      <c r="J344" s="1" t="s">
        <v>39</v>
      </c>
      <c r="K344" t="s">
        <v>39</v>
      </c>
      <c r="L344">
        <v>2</v>
      </c>
      <c r="M344" t="str">
        <f>IF(D344="Y","",IF(N344="Y",INDEX(#REF!,MATCH(C344,#REF!,0)),C344))</f>
        <v>1 - Executive</v>
      </c>
      <c r="N344" t="s">
        <v>52</v>
      </c>
      <c r="O344" t="s">
        <v>42</v>
      </c>
      <c r="P344">
        <v>47</v>
      </c>
      <c r="Q344" t="s">
        <v>9</v>
      </c>
      <c r="R344" t="s">
        <v>9</v>
      </c>
      <c r="S344" t="s">
        <v>9</v>
      </c>
      <c r="T344" s="2">
        <v>42826</v>
      </c>
      <c r="U344">
        <v>3</v>
      </c>
      <c r="V344">
        <f t="shared" ca="1" si="5"/>
        <v>0.6916317320698594</v>
      </c>
    </row>
    <row r="345" spans="1:22">
      <c r="A345">
        <v>344</v>
      </c>
      <c r="B345" t="s">
        <v>1</v>
      </c>
      <c r="C345" t="s">
        <v>61</v>
      </c>
      <c r="D345" t="s">
        <v>52</v>
      </c>
      <c r="E345">
        <v>2</v>
      </c>
      <c r="F345" t="s">
        <v>53</v>
      </c>
      <c r="G345" t="s">
        <v>50</v>
      </c>
      <c r="H345" t="s">
        <v>5</v>
      </c>
      <c r="I345" t="s">
        <v>5</v>
      </c>
      <c r="J345" s="1" t="s">
        <v>39</v>
      </c>
      <c r="K345" t="s">
        <v>39</v>
      </c>
      <c r="L345">
        <v>1</v>
      </c>
      <c r="M345" t="str">
        <f>IF(D345="Y","",IF(N345="Y",INDEX(#REF!,MATCH(C345,#REF!,0)),C345))</f>
        <v>5 - Senior Officer</v>
      </c>
      <c r="N345" t="s">
        <v>52</v>
      </c>
      <c r="O345" t="s">
        <v>41</v>
      </c>
      <c r="P345">
        <v>35</v>
      </c>
      <c r="Q345" t="s">
        <v>19</v>
      </c>
      <c r="R345" t="s">
        <v>45</v>
      </c>
      <c r="S345" t="s">
        <v>45</v>
      </c>
      <c r="T345" s="2">
        <v>43556</v>
      </c>
      <c r="U345">
        <v>1</v>
      </c>
      <c r="V345">
        <f t="shared" ca="1" si="5"/>
        <v>0.59812890161306187</v>
      </c>
    </row>
    <row r="346" spans="1:22">
      <c r="A346">
        <v>345</v>
      </c>
      <c r="B346" t="s">
        <v>0</v>
      </c>
      <c r="C346" t="s">
        <v>56</v>
      </c>
      <c r="D346" t="s">
        <v>52</v>
      </c>
      <c r="E346">
        <v>2</v>
      </c>
      <c r="F346" t="s">
        <v>53</v>
      </c>
      <c r="G346" t="s">
        <v>50</v>
      </c>
      <c r="H346" t="s">
        <v>7</v>
      </c>
      <c r="I346" t="s">
        <v>7</v>
      </c>
      <c r="J346" s="1" t="s">
        <v>39</v>
      </c>
      <c r="K346" t="s">
        <v>39</v>
      </c>
      <c r="L346">
        <v>3</v>
      </c>
      <c r="M346" t="str">
        <f>IF(D346="Y","",IF(N346="Y",INDEX(#REF!,MATCH(C346,#REF!,0)),C346))</f>
        <v>6 - Junior Officer</v>
      </c>
      <c r="N346" t="s">
        <v>52</v>
      </c>
      <c r="O346" t="s">
        <v>40</v>
      </c>
      <c r="P346">
        <v>22</v>
      </c>
      <c r="Q346" t="s">
        <v>9</v>
      </c>
      <c r="R346" t="s">
        <v>9</v>
      </c>
      <c r="S346" t="s">
        <v>9</v>
      </c>
      <c r="T346" s="2">
        <v>42826</v>
      </c>
      <c r="U346">
        <v>3</v>
      </c>
      <c r="V346">
        <f t="shared" ca="1" si="5"/>
        <v>0.46604768195026414</v>
      </c>
    </row>
    <row r="347" spans="1:22">
      <c r="A347">
        <v>346</v>
      </c>
      <c r="B347" t="s">
        <v>1</v>
      </c>
      <c r="C347" t="s">
        <v>57</v>
      </c>
      <c r="D347" t="s">
        <v>52</v>
      </c>
      <c r="E347">
        <v>3</v>
      </c>
      <c r="F347" t="s">
        <v>53</v>
      </c>
      <c r="G347" t="s">
        <v>50</v>
      </c>
      <c r="H347" t="s">
        <v>6</v>
      </c>
      <c r="I347" t="s">
        <v>6</v>
      </c>
      <c r="J347" s="1" t="s">
        <v>39</v>
      </c>
      <c r="K347" t="s">
        <v>39</v>
      </c>
      <c r="L347">
        <v>2</v>
      </c>
      <c r="M347" t="str">
        <f>IF(D347="Y","",IF(N347="Y",INDEX(#REF!,MATCH(C347,#REF!,0)),C347))</f>
        <v>4 - Manager</v>
      </c>
      <c r="N347" t="s">
        <v>52</v>
      </c>
      <c r="O347" t="s">
        <v>41</v>
      </c>
      <c r="P347">
        <v>32</v>
      </c>
      <c r="Q347" t="s">
        <v>29</v>
      </c>
      <c r="R347" t="s">
        <v>47</v>
      </c>
      <c r="S347" t="s">
        <v>49</v>
      </c>
      <c r="T347" s="2">
        <v>41365</v>
      </c>
      <c r="U347">
        <v>7</v>
      </c>
      <c r="V347">
        <f t="shared" ca="1" si="5"/>
        <v>0.2031078966470391</v>
      </c>
    </row>
    <row r="348" spans="1:22">
      <c r="A348">
        <v>347</v>
      </c>
      <c r="B348" t="s">
        <v>1</v>
      </c>
      <c r="C348" t="s">
        <v>58</v>
      </c>
      <c r="D348" t="s">
        <v>52</v>
      </c>
      <c r="E348">
        <v>3</v>
      </c>
      <c r="F348" t="s">
        <v>53</v>
      </c>
      <c r="G348" t="s">
        <v>50</v>
      </c>
      <c r="H348" t="s">
        <v>5</v>
      </c>
      <c r="I348" t="s">
        <v>5</v>
      </c>
      <c r="J348" s="1" t="s">
        <v>39</v>
      </c>
      <c r="K348" t="s">
        <v>39</v>
      </c>
      <c r="L348">
        <v>3</v>
      </c>
      <c r="M348" t="str">
        <f>IF(D348="Y","",IF(N348="Y",INDEX(#REF!,MATCH(C348,#REF!,0)),C348))</f>
        <v>3 - Senior Manager</v>
      </c>
      <c r="N348" t="s">
        <v>52</v>
      </c>
      <c r="O348" t="s">
        <v>42</v>
      </c>
      <c r="P348">
        <v>48</v>
      </c>
      <c r="Q348" t="s">
        <v>9</v>
      </c>
      <c r="R348" t="s">
        <v>9</v>
      </c>
      <c r="S348" t="s">
        <v>9</v>
      </c>
      <c r="T348" s="2">
        <v>41730</v>
      </c>
      <c r="U348">
        <v>6</v>
      </c>
      <c r="V348">
        <f t="shared" ca="1" si="5"/>
        <v>0.83979789603878485</v>
      </c>
    </row>
    <row r="349" spans="1:22">
      <c r="A349">
        <v>348</v>
      </c>
      <c r="B349" t="s">
        <v>1</v>
      </c>
      <c r="C349" t="s">
        <v>61</v>
      </c>
      <c r="D349" t="s">
        <v>52</v>
      </c>
      <c r="E349">
        <v>3</v>
      </c>
      <c r="F349" t="s">
        <v>53</v>
      </c>
      <c r="G349" t="s">
        <v>50</v>
      </c>
      <c r="H349" t="s">
        <v>5</v>
      </c>
      <c r="I349" t="s">
        <v>5</v>
      </c>
      <c r="J349" s="1" t="s">
        <v>39</v>
      </c>
      <c r="K349" t="s">
        <v>39</v>
      </c>
      <c r="L349">
        <v>4</v>
      </c>
      <c r="M349" t="str">
        <f>IF(D349="Y","",IF(N349="Y",INDEX(#REF!,MATCH(C349,#REF!,0)),C349))</f>
        <v>5 - Senior Officer</v>
      </c>
      <c r="N349" t="s">
        <v>52</v>
      </c>
      <c r="O349" t="s">
        <v>40</v>
      </c>
      <c r="P349">
        <v>25</v>
      </c>
      <c r="Q349" t="s">
        <v>25</v>
      </c>
      <c r="R349" t="s">
        <v>45</v>
      </c>
      <c r="S349" t="s">
        <v>45</v>
      </c>
      <c r="T349" s="2">
        <v>42461</v>
      </c>
      <c r="U349">
        <v>4</v>
      </c>
      <c r="V349">
        <f t="shared" ca="1" si="5"/>
        <v>0.56524744306088104</v>
      </c>
    </row>
    <row r="350" spans="1:22">
      <c r="A350">
        <v>349</v>
      </c>
      <c r="B350" t="s">
        <v>0</v>
      </c>
      <c r="C350" t="s">
        <v>56</v>
      </c>
      <c r="D350" t="s">
        <v>52</v>
      </c>
      <c r="E350">
        <v>3</v>
      </c>
      <c r="F350" t="s">
        <v>53</v>
      </c>
      <c r="G350" t="s">
        <v>50</v>
      </c>
      <c r="H350" t="s">
        <v>5</v>
      </c>
      <c r="I350" t="s">
        <v>5</v>
      </c>
      <c r="J350" s="1" t="s">
        <v>39</v>
      </c>
      <c r="K350" t="s">
        <v>39</v>
      </c>
      <c r="L350">
        <v>3</v>
      </c>
      <c r="M350" t="str">
        <f>IF(D350="Y","",IF(N350="Y",INDEX(#REF!,MATCH(C350,#REF!,0)),C350))</f>
        <v>6 - Junior Officer</v>
      </c>
      <c r="N350" t="s">
        <v>52</v>
      </c>
      <c r="O350" t="s">
        <v>40</v>
      </c>
      <c r="P350">
        <v>22</v>
      </c>
      <c r="Q350" t="s">
        <v>19</v>
      </c>
      <c r="R350" t="s">
        <v>45</v>
      </c>
      <c r="S350" t="s">
        <v>45</v>
      </c>
      <c r="T350" s="2">
        <v>42826</v>
      </c>
      <c r="U350">
        <v>3</v>
      </c>
      <c r="V350">
        <f t="shared" ca="1" si="5"/>
        <v>0.64472437432686613</v>
      </c>
    </row>
    <row r="351" spans="1:22">
      <c r="A351">
        <v>350</v>
      </c>
      <c r="B351" t="s">
        <v>1</v>
      </c>
      <c r="C351" s="3" t="s">
        <v>56</v>
      </c>
      <c r="D351" t="s">
        <v>52</v>
      </c>
      <c r="E351">
        <v>3</v>
      </c>
      <c r="F351" t="s">
        <v>51</v>
      </c>
      <c r="G351" t="s">
        <v>50</v>
      </c>
      <c r="H351" t="s">
        <v>5</v>
      </c>
      <c r="I351" t="s">
        <v>5</v>
      </c>
      <c r="J351" s="1" t="s">
        <v>39</v>
      </c>
      <c r="K351" t="s">
        <v>39</v>
      </c>
      <c r="L351">
        <v>2</v>
      </c>
      <c r="M351" t="str">
        <f>IF(D351="Y","",IF(N351="Y",INDEX(#REF!,MATCH(C351,#REF!,0)),C351))</f>
        <v>6 - Junior Officer</v>
      </c>
      <c r="N351" t="s">
        <v>52</v>
      </c>
      <c r="O351" t="s">
        <v>40</v>
      </c>
      <c r="P351">
        <v>27</v>
      </c>
      <c r="Q351" t="s">
        <v>19</v>
      </c>
      <c r="R351" t="s">
        <v>45</v>
      </c>
      <c r="S351" t="s">
        <v>45</v>
      </c>
      <c r="T351" s="2">
        <v>43191</v>
      </c>
      <c r="U351">
        <v>2</v>
      </c>
      <c r="V351">
        <f t="shared" ca="1" si="5"/>
        <v>0.28059108277175115</v>
      </c>
    </row>
    <row r="352" spans="1:22">
      <c r="A352">
        <v>351</v>
      </c>
      <c r="B352" t="s">
        <v>1</v>
      </c>
      <c r="C352" t="s">
        <v>57</v>
      </c>
      <c r="D352" t="s">
        <v>52</v>
      </c>
      <c r="E352">
        <v>2</v>
      </c>
      <c r="F352" t="s">
        <v>53</v>
      </c>
      <c r="G352" t="s">
        <v>50</v>
      </c>
      <c r="H352" t="s">
        <v>7</v>
      </c>
      <c r="I352" t="s">
        <v>7</v>
      </c>
      <c r="J352" s="1" t="s">
        <v>39</v>
      </c>
      <c r="K352" t="s">
        <v>39</v>
      </c>
      <c r="L352">
        <v>4</v>
      </c>
      <c r="M352" t="str">
        <f>IF(D352="Y","",IF(N352="Y",INDEX(#REF!,MATCH(C352,#REF!,0)),C352))</f>
        <v>4 - Manager</v>
      </c>
      <c r="N352" t="s">
        <v>52</v>
      </c>
      <c r="O352" t="s">
        <v>41</v>
      </c>
      <c r="P352">
        <v>36</v>
      </c>
      <c r="Q352" t="s">
        <v>19</v>
      </c>
      <c r="R352" t="s">
        <v>45</v>
      </c>
      <c r="S352" t="s">
        <v>45</v>
      </c>
      <c r="T352" s="2">
        <v>42461</v>
      </c>
      <c r="U352">
        <v>4</v>
      </c>
      <c r="V352">
        <f t="shared" ca="1" si="5"/>
        <v>0.70169725313874831</v>
      </c>
    </row>
    <row r="353" spans="1:22">
      <c r="A353">
        <v>352</v>
      </c>
      <c r="B353" t="s">
        <v>1</v>
      </c>
      <c r="C353" t="s">
        <v>56</v>
      </c>
      <c r="D353" t="s">
        <v>52</v>
      </c>
      <c r="E353">
        <v>2</v>
      </c>
      <c r="F353" t="s">
        <v>53</v>
      </c>
      <c r="G353" t="s">
        <v>50</v>
      </c>
      <c r="H353" t="s">
        <v>7</v>
      </c>
      <c r="I353" t="s">
        <v>7</v>
      </c>
      <c r="J353" s="1" t="s">
        <v>39</v>
      </c>
      <c r="K353" t="s">
        <v>39</v>
      </c>
      <c r="L353">
        <v>1</v>
      </c>
      <c r="M353" t="str">
        <f>IF(D353="Y","",IF(N353="Y",INDEX(#REF!,MATCH(C353,#REF!,0)),C353))</f>
        <v>6 - Junior Officer</v>
      </c>
      <c r="N353" t="s">
        <v>52</v>
      </c>
      <c r="O353" t="s">
        <v>40</v>
      </c>
      <c r="P353">
        <v>29</v>
      </c>
      <c r="Q353" t="s">
        <v>9</v>
      </c>
      <c r="R353" t="s">
        <v>9</v>
      </c>
      <c r="S353" t="s">
        <v>9</v>
      </c>
      <c r="T353" s="2">
        <v>43556</v>
      </c>
      <c r="U353">
        <v>1</v>
      </c>
      <c r="V353">
        <f t="shared" ca="1" si="5"/>
        <v>0.20030217024612851</v>
      </c>
    </row>
    <row r="354" spans="1:22">
      <c r="A354">
        <v>353</v>
      </c>
      <c r="B354" t="s">
        <v>0</v>
      </c>
      <c r="C354" t="s">
        <v>61</v>
      </c>
      <c r="D354" t="s">
        <v>52</v>
      </c>
      <c r="E354">
        <v>3</v>
      </c>
      <c r="F354" t="s">
        <v>53</v>
      </c>
      <c r="G354" t="s">
        <v>50</v>
      </c>
      <c r="H354" t="s">
        <v>7</v>
      </c>
      <c r="I354" t="s">
        <v>7</v>
      </c>
      <c r="J354" s="1" t="s">
        <v>39</v>
      </c>
      <c r="K354" t="s">
        <v>39</v>
      </c>
      <c r="L354">
        <v>6</v>
      </c>
      <c r="M354" t="str">
        <f>IF(D354="Y","",IF(N354="Y",INDEX(#REF!,MATCH(C354,#REF!,0)),C354))</f>
        <v>5 - Senior Officer</v>
      </c>
      <c r="N354" t="s">
        <v>52</v>
      </c>
      <c r="O354" t="s">
        <v>41</v>
      </c>
      <c r="P354">
        <v>31</v>
      </c>
      <c r="Q354" t="s">
        <v>19</v>
      </c>
      <c r="R354" t="s">
        <v>45</v>
      </c>
      <c r="S354" t="s">
        <v>45</v>
      </c>
      <c r="T354" s="2">
        <v>42461</v>
      </c>
      <c r="U354">
        <v>4</v>
      </c>
      <c r="V354">
        <f t="shared" ca="1" si="5"/>
        <v>0.42201184633100941</v>
      </c>
    </row>
    <row r="355" spans="1:22">
      <c r="A355">
        <v>354</v>
      </c>
      <c r="B355" t="s">
        <v>0</v>
      </c>
      <c r="C355" t="s">
        <v>56</v>
      </c>
      <c r="D355" t="s">
        <v>50</v>
      </c>
      <c r="F355" t="s">
        <v>53</v>
      </c>
      <c r="G355" t="s">
        <v>52</v>
      </c>
      <c r="H355" t="s">
        <v>5</v>
      </c>
      <c r="I355" t="s">
        <v>5</v>
      </c>
      <c r="J355" s="1" t="s">
        <v>39</v>
      </c>
      <c r="K355" t="s">
        <v>39</v>
      </c>
      <c r="L355">
        <v>0</v>
      </c>
      <c r="M355" t="str">
        <f>IF(D355="Y","",IF(N355="Y",INDEX(#REF!,MATCH(C355,#REF!,0)),C355))</f>
        <v/>
      </c>
      <c r="N355" t="s">
        <v>52</v>
      </c>
      <c r="O355" t="s">
        <v>40</v>
      </c>
      <c r="P355">
        <v>23</v>
      </c>
      <c r="Q355" t="s">
        <v>18</v>
      </c>
      <c r="R355" t="s">
        <v>45</v>
      </c>
      <c r="S355" t="s">
        <v>45</v>
      </c>
      <c r="T355" s="2">
        <v>43922</v>
      </c>
      <c r="U355">
        <v>0</v>
      </c>
      <c r="V355">
        <f t="shared" ca="1" si="5"/>
        <v>0.9615150725656374</v>
      </c>
    </row>
    <row r="356" spans="1:22">
      <c r="A356">
        <v>355</v>
      </c>
      <c r="B356" t="s">
        <v>1</v>
      </c>
      <c r="C356" t="s">
        <v>56</v>
      </c>
      <c r="D356" t="s">
        <v>50</v>
      </c>
      <c r="F356" t="s">
        <v>53</v>
      </c>
      <c r="G356" t="s">
        <v>52</v>
      </c>
      <c r="H356" t="s">
        <v>5</v>
      </c>
      <c r="I356" t="s">
        <v>5</v>
      </c>
      <c r="J356" s="1" t="s">
        <v>39</v>
      </c>
      <c r="K356" t="s">
        <v>39</v>
      </c>
      <c r="L356">
        <v>0</v>
      </c>
      <c r="M356" t="str">
        <f>IF(D356="Y","",IF(N356="Y",INDEX(#REF!,MATCH(C356,#REF!,0)),C356))</f>
        <v/>
      </c>
      <c r="N356" t="s">
        <v>52</v>
      </c>
      <c r="O356" t="s">
        <v>40</v>
      </c>
      <c r="P356">
        <v>23</v>
      </c>
      <c r="Q356" t="s">
        <v>15</v>
      </c>
      <c r="R356" t="s">
        <v>45</v>
      </c>
      <c r="S356" t="s">
        <v>45</v>
      </c>
      <c r="T356" s="2">
        <v>43922</v>
      </c>
      <c r="U356">
        <v>0</v>
      </c>
      <c r="V356">
        <f t="shared" ca="1" si="5"/>
        <v>0.70486436281521969</v>
      </c>
    </row>
    <row r="357" spans="1:22">
      <c r="A357">
        <v>356</v>
      </c>
      <c r="B357" t="s">
        <v>1</v>
      </c>
      <c r="C357" t="s">
        <v>61</v>
      </c>
      <c r="D357" t="s">
        <v>52</v>
      </c>
      <c r="E357">
        <v>2</v>
      </c>
      <c r="F357" t="s">
        <v>53</v>
      </c>
      <c r="G357" t="s">
        <v>50</v>
      </c>
      <c r="H357" t="s">
        <v>7</v>
      </c>
      <c r="I357" t="s">
        <v>7</v>
      </c>
      <c r="J357" s="1" t="s">
        <v>39</v>
      </c>
      <c r="K357" t="s">
        <v>39</v>
      </c>
      <c r="L357">
        <v>3</v>
      </c>
      <c r="M357" t="str">
        <f>IF(D357="Y","",IF(N357="Y",INDEX(#REF!,MATCH(C357,#REF!,0)),C357))</f>
        <v>5 - Senior Officer</v>
      </c>
      <c r="N357" t="s">
        <v>52</v>
      </c>
      <c r="O357" t="s">
        <v>41</v>
      </c>
      <c r="P357">
        <v>32</v>
      </c>
      <c r="Q357" t="s">
        <v>9</v>
      </c>
      <c r="R357" t="s">
        <v>9</v>
      </c>
      <c r="S357" t="s">
        <v>9</v>
      </c>
      <c r="T357" s="2">
        <v>42826</v>
      </c>
      <c r="U357">
        <v>3</v>
      </c>
      <c r="V357">
        <f t="shared" ca="1" si="5"/>
        <v>0.80057629099749394</v>
      </c>
    </row>
    <row r="358" spans="1:22">
      <c r="A358">
        <v>357</v>
      </c>
      <c r="B358" t="s">
        <v>0</v>
      </c>
      <c r="C358" t="s">
        <v>56</v>
      </c>
      <c r="D358" t="s">
        <v>52</v>
      </c>
      <c r="E358">
        <v>2</v>
      </c>
      <c r="F358" t="s">
        <v>53</v>
      </c>
      <c r="G358" t="s">
        <v>50</v>
      </c>
      <c r="H358" t="s">
        <v>5</v>
      </c>
      <c r="I358" t="s">
        <v>5</v>
      </c>
      <c r="J358" s="1" t="s">
        <v>39</v>
      </c>
      <c r="K358" t="s">
        <v>39</v>
      </c>
      <c r="L358">
        <v>3</v>
      </c>
      <c r="M358" t="str">
        <f>IF(D358="Y","",IF(N358="Y",INDEX(#REF!,MATCH(C358,#REF!,0)),C358))</f>
        <v>6 - Junior Officer</v>
      </c>
      <c r="N358" t="s">
        <v>52</v>
      </c>
      <c r="O358" t="s">
        <v>40</v>
      </c>
      <c r="P358">
        <v>27</v>
      </c>
      <c r="Q358" t="s">
        <v>9</v>
      </c>
      <c r="R358" t="s">
        <v>9</v>
      </c>
      <c r="S358" t="s">
        <v>9</v>
      </c>
      <c r="T358" s="2">
        <v>42826</v>
      </c>
      <c r="U358">
        <v>3</v>
      </c>
      <c r="V358">
        <f t="shared" ca="1" si="5"/>
        <v>0.8605803667776355</v>
      </c>
    </row>
    <row r="359" spans="1:22">
      <c r="A359">
        <v>358</v>
      </c>
      <c r="B359" t="s">
        <v>0</v>
      </c>
      <c r="C359" t="s">
        <v>61</v>
      </c>
      <c r="D359" t="s">
        <v>52</v>
      </c>
      <c r="E359">
        <v>3</v>
      </c>
      <c r="F359" t="s">
        <v>53</v>
      </c>
      <c r="G359" t="s">
        <v>50</v>
      </c>
      <c r="H359" t="s">
        <v>5</v>
      </c>
      <c r="I359" t="s">
        <v>5</v>
      </c>
      <c r="J359" s="1">
        <v>0.8</v>
      </c>
      <c r="K359" t="s">
        <v>38</v>
      </c>
      <c r="L359">
        <v>3</v>
      </c>
      <c r="M359" t="str">
        <f>IF(D359="Y","",IF(N359="Y",INDEX(#REF!,MATCH(C359,#REF!,0)),C359))</f>
        <v>5 - Senior Officer</v>
      </c>
      <c r="N359" t="s">
        <v>52</v>
      </c>
      <c r="O359" t="s">
        <v>41</v>
      </c>
      <c r="P359">
        <v>33</v>
      </c>
      <c r="Q359" t="s">
        <v>20</v>
      </c>
      <c r="R359" t="s">
        <v>45</v>
      </c>
      <c r="S359" t="s">
        <v>45</v>
      </c>
      <c r="T359" s="2">
        <v>40634</v>
      </c>
      <c r="U359">
        <v>9</v>
      </c>
      <c r="V359">
        <f t="shared" ca="1" si="5"/>
        <v>0.9558269551553461</v>
      </c>
    </row>
    <row r="360" spans="1:22">
      <c r="A360">
        <v>359</v>
      </c>
      <c r="B360" t="s">
        <v>0</v>
      </c>
      <c r="C360" t="s">
        <v>61</v>
      </c>
      <c r="D360" t="s">
        <v>52</v>
      </c>
      <c r="E360">
        <v>2</v>
      </c>
      <c r="F360" t="s">
        <v>53</v>
      </c>
      <c r="G360" t="s">
        <v>50</v>
      </c>
      <c r="H360" t="s">
        <v>7</v>
      </c>
      <c r="I360" t="s">
        <v>7</v>
      </c>
      <c r="J360" s="1" t="s">
        <v>39</v>
      </c>
      <c r="K360" t="s">
        <v>39</v>
      </c>
      <c r="L360">
        <v>3</v>
      </c>
      <c r="M360" t="str">
        <f>IF(D360="Y","",IF(N360="Y",INDEX(#REF!,MATCH(C360,#REF!,0)),C360))</f>
        <v>5 - Senior Officer</v>
      </c>
      <c r="N360" t="s">
        <v>52</v>
      </c>
      <c r="O360" t="s">
        <v>40</v>
      </c>
      <c r="P360">
        <v>28</v>
      </c>
      <c r="Q360" t="s">
        <v>27</v>
      </c>
      <c r="R360" t="s">
        <v>46</v>
      </c>
      <c r="S360" t="s">
        <v>49</v>
      </c>
      <c r="T360" s="2">
        <v>40634</v>
      </c>
      <c r="U360">
        <v>9</v>
      </c>
      <c r="V360">
        <f t="shared" ca="1" si="5"/>
        <v>6.9322090817870108E-2</v>
      </c>
    </row>
    <row r="361" spans="1:22">
      <c r="A361">
        <v>360</v>
      </c>
      <c r="B361" t="s">
        <v>1</v>
      </c>
      <c r="C361" t="s">
        <v>61</v>
      </c>
      <c r="D361" t="s">
        <v>50</v>
      </c>
      <c r="F361" t="s">
        <v>53</v>
      </c>
      <c r="G361" t="s">
        <v>52</v>
      </c>
      <c r="H361" t="s">
        <v>6</v>
      </c>
      <c r="I361" t="s">
        <v>6</v>
      </c>
      <c r="J361" s="1" t="s">
        <v>39</v>
      </c>
      <c r="K361" t="s">
        <v>39</v>
      </c>
      <c r="L361">
        <v>0</v>
      </c>
      <c r="M361" t="str">
        <f>IF(D361="Y","",IF(N361="Y",INDEX(#REF!,MATCH(C361,#REF!,0)),C361))</f>
        <v/>
      </c>
      <c r="N361" t="s">
        <v>52</v>
      </c>
      <c r="O361" t="s">
        <v>40</v>
      </c>
      <c r="P361">
        <v>24</v>
      </c>
      <c r="Q361" t="s">
        <v>15</v>
      </c>
      <c r="R361" t="s">
        <v>45</v>
      </c>
      <c r="S361" t="s">
        <v>45</v>
      </c>
      <c r="T361" s="2">
        <v>43922</v>
      </c>
      <c r="U361">
        <v>0</v>
      </c>
      <c r="V361">
        <f t="shared" ca="1" si="5"/>
        <v>0.49973317393199235</v>
      </c>
    </row>
    <row r="362" spans="1:22">
      <c r="A362">
        <v>361</v>
      </c>
      <c r="B362" t="s">
        <v>1</v>
      </c>
      <c r="C362" t="s">
        <v>58</v>
      </c>
      <c r="D362" t="s">
        <v>52</v>
      </c>
      <c r="E362">
        <v>2</v>
      </c>
      <c r="F362" t="s">
        <v>53</v>
      </c>
      <c r="G362" t="s">
        <v>50</v>
      </c>
      <c r="H362" t="s">
        <v>6</v>
      </c>
      <c r="I362" t="s">
        <v>6</v>
      </c>
      <c r="J362" s="1" t="s">
        <v>39</v>
      </c>
      <c r="K362" t="s">
        <v>39</v>
      </c>
      <c r="L362">
        <v>4</v>
      </c>
      <c r="M362" t="str">
        <f>IF(D362="Y","",IF(N362="Y",INDEX(#REF!,MATCH(C362,#REF!,0)),C362))</f>
        <v>3 - Senior Manager</v>
      </c>
      <c r="N362" t="s">
        <v>52</v>
      </c>
      <c r="O362" t="s">
        <v>41</v>
      </c>
      <c r="P362">
        <v>38</v>
      </c>
      <c r="Q362" t="s">
        <v>9</v>
      </c>
      <c r="R362" t="s">
        <v>9</v>
      </c>
      <c r="S362" t="s">
        <v>9</v>
      </c>
      <c r="T362" s="2">
        <v>40634</v>
      </c>
      <c r="U362">
        <v>9</v>
      </c>
      <c r="V362">
        <f t="shared" ca="1" si="5"/>
        <v>0.17453040302782286</v>
      </c>
    </row>
    <row r="363" spans="1:22">
      <c r="A363">
        <v>362</v>
      </c>
      <c r="B363" t="s">
        <v>0</v>
      </c>
      <c r="C363" t="s">
        <v>56</v>
      </c>
      <c r="D363" t="s">
        <v>52</v>
      </c>
      <c r="E363">
        <v>3</v>
      </c>
      <c r="F363" t="s">
        <v>53</v>
      </c>
      <c r="G363" t="s">
        <v>50</v>
      </c>
      <c r="H363" t="s">
        <v>5</v>
      </c>
      <c r="I363" t="s">
        <v>5</v>
      </c>
      <c r="J363" s="1" t="s">
        <v>39</v>
      </c>
      <c r="K363" t="s">
        <v>39</v>
      </c>
      <c r="L363">
        <v>5</v>
      </c>
      <c r="M363" t="str">
        <f>IF(D363="Y","",IF(N363="Y",INDEX(#REF!,MATCH(C363,#REF!,0)),C363))</f>
        <v>6 - Junior Officer</v>
      </c>
      <c r="N363" t="s">
        <v>52</v>
      </c>
      <c r="O363" t="s">
        <v>40</v>
      </c>
      <c r="P363">
        <v>26</v>
      </c>
      <c r="Q363" t="s">
        <v>27</v>
      </c>
      <c r="R363" t="s">
        <v>46</v>
      </c>
      <c r="S363" t="s">
        <v>49</v>
      </c>
      <c r="T363" s="2">
        <v>42095</v>
      </c>
      <c r="U363">
        <v>5</v>
      </c>
      <c r="V363">
        <f t="shared" ca="1" si="5"/>
        <v>0.51383542771553126</v>
      </c>
    </row>
    <row r="364" spans="1:22">
      <c r="A364">
        <v>363</v>
      </c>
      <c r="B364" t="s">
        <v>1</v>
      </c>
      <c r="C364" t="s">
        <v>60</v>
      </c>
      <c r="D364" t="s">
        <v>52</v>
      </c>
      <c r="F364" t="s">
        <v>53</v>
      </c>
      <c r="G364" t="s">
        <v>50</v>
      </c>
      <c r="H364" t="s">
        <v>8</v>
      </c>
      <c r="I364" t="s">
        <v>8</v>
      </c>
      <c r="J364" s="1" t="s">
        <v>39</v>
      </c>
      <c r="K364" t="s">
        <v>39</v>
      </c>
      <c r="L364">
        <v>4</v>
      </c>
      <c r="M364" t="str">
        <f>IF(D364="Y","",IF(N364="Y",INDEX(#REF!,MATCH(C364,#REF!,0)),C364))</f>
        <v>1 - Executive</v>
      </c>
      <c r="N364" t="s">
        <v>52</v>
      </c>
      <c r="O364" t="s">
        <v>42</v>
      </c>
      <c r="P364">
        <v>45</v>
      </c>
      <c r="Q364" t="s">
        <v>20</v>
      </c>
      <c r="R364" t="s">
        <v>45</v>
      </c>
      <c r="S364" t="s">
        <v>45</v>
      </c>
      <c r="T364" s="2">
        <v>41365</v>
      </c>
      <c r="U364">
        <v>7</v>
      </c>
      <c r="V364">
        <f t="shared" ca="1" si="5"/>
        <v>0.51075863986667969</v>
      </c>
    </row>
    <row r="365" spans="1:22">
      <c r="A365">
        <v>364</v>
      </c>
      <c r="B365" t="s">
        <v>1</v>
      </c>
      <c r="C365" t="s">
        <v>61</v>
      </c>
      <c r="D365" t="s">
        <v>52</v>
      </c>
      <c r="E365">
        <v>4</v>
      </c>
      <c r="F365" t="s">
        <v>53</v>
      </c>
      <c r="G365" t="s">
        <v>50</v>
      </c>
      <c r="H365" t="s">
        <v>5</v>
      </c>
      <c r="I365" t="s">
        <v>5</v>
      </c>
      <c r="J365" s="1" t="s">
        <v>39</v>
      </c>
      <c r="K365" t="s">
        <v>39</v>
      </c>
      <c r="L365">
        <v>1</v>
      </c>
      <c r="M365" t="e">
        <f>IF(D365="Y","",IF(N365="Y",INDEX(#REF!,MATCH(C365,#REF!,0)),C365))</f>
        <v>#REF!</v>
      </c>
      <c r="N365" t="s">
        <v>50</v>
      </c>
      <c r="O365" t="s">
        <v>40</v>
      </c>
      <c r="P365">
        <v>29</v>
      </c>
      <c r="Q365" t="s">
        <v>20</v>
      </c>
      <c r="R365" t="s">
        <v>45</v>
      </c>
      <c r="S365" t="s">
        <v>45</v>
      </c>
      <c r="T365" s="2">
        <v>43191</v>
      </c>
      <c r="U365">
        <v>2</v>
      </c>
      <c r="V365">
        <f t="shared" ca="1" si="5"/>
        <v>0.93386302400931576</v>
      </c>
    </row>
    <row r="366" spans="1:22">
      <c r="A366">
        <v>365</v>
      </c>
      <c r="B366" t="s">
        <v>1</v>
      </c>
      <c r="C366" t="s">
        <v>57</v>
      </c>
      <c r="D366" t="s">
        <v>52</v>
      </c>
      <c r="E366">
        <v>3</v>
      </c>
      <c r="F366" t="s">
        <v>53</v>
      </c>
      <c r="G366" t="s">
        <v>50</v>
      </c>
      <c r="H366" t="s">
        <v>7</v>
      </c>
      <c r="I366" t="s">
        <v>7</v>
      </c>
      <c r="J366" s="1" t="s">
        <v>39</v>
      </c>
      <c r="K366" t="s">
        <v>39</v>
      </c>
      <c r="L366">
        <v>2</v>
      </c>
      <c r="M366" t="str">
        <f>IF(D366="Y","",IF(N366="Y",INDEX(#REF!,MATCH(C366,#REF!,0)),C366))</f>
        <v>4 - Manager</v>
      </c>
      <c r="N366" t="s">
        <v>52</v>
      </c>
      <c r="O366" t="s">
        <v>41</v>
      </c>
      <c r="P366">
        <v>31</v>
      </c>
      <c r="Q366" t="s">
        <v>9</v>
      </c>
      <c r="R366" t="s">
        <v>9</v>
      </c>
      <c r="S366" t="s">
        <v>9</v>
      </c>
      <c r="T366" s="2">
        <v>40634</v>
      </c>
      <c r="U366">
        <v>9</v>
      </c>
      <c r="V366">
        <f t="shared" ca="1" si="5"/>
        <v>0.37713181264058693</v>
      </c>
    </row>
    <row r="367" spans="1:22">
      <c r="A367">
        <v>366</v>
      </c>
      <c r="B367" t="s">
        <v>0</v>
      </c>
      <c r="C367" t="s">
        <v>56</v>
      </c>
      <c r="D367" t="s">
        <v>52</v>
      </c>
      <c r="E367">
        <v>1</v>
      </c>
      <c r="F367" t="s">
        <v>53</v>
      </c>
      <c r="G367" t="s">
        <v>50</v>
      </c>
      <c r="H367" t="s">
        <v>3</v>
      </c>
      <c r="I367" t="s">
        <v>3</v>
      </c>
      <c r="J367" s="1" t="s">
        <v>39</v>
      </c>
      <c r="K367" t="s">
        <v>39</v>
      </c>
      <c r="L367">
        <v>3</v>
      </c>
      <c r="M367" t="str">
        <f>IF(D367="Y","",IF(N367="Y",INDEX(#REF!,MATCH(C367,#REF!,0)),C367))</f>
        <v>6 - Junior Officer</v>
      </c>
      <c r="N367" t="s">
        <v>52</v>
      </c>
      <c r="O367" t="s">
        <v>41</v>
      </c>
      <c r="P367">
        <v>34</v>
      </c>
      <c r="Q367" t="s">
        <v>9</v>
      </c>
      <c r="R367" t="s">
        <v>9</v>
      </c>
      <c r="S367" t="s">
        <v>9</v>
      </c>
      <c r="T367" s="2">
        <v>42826</v>
      </c>
      <c r="U367">
        <v>3</v>
      </c>
      <c r="V367">
        <f t="shared" ca="1" si="5"/>
        <v>0.36629398013950742</v>
      </c>
    </row>
    <row r="368" spans="1:22">
      <c r="A368">
        <v>367</v>
      </c>
      <c r="B368" t="s">
        <v>0</v>
      </c>
      <c r="C368" t="s">
        <v>61</v>
      </c>
      <c r="D368" t="s">
        <v>50</v>
      </c>
      <c r="F368" t="s">
        <v>53</v>
      </c>
      <c r="G368" t="s">
        <v>52</v>
      </c>
      <c r="H368" t="s">
        <v>7</v>
      </c>
      <c r="I368" t="s">
        <v>7</v>
      </c>
      <c r="J368" s="1" t="s">
        <v>39</v>
      </c>
      <c r="K368" t="s">
        <v>39</v>
      </c>
      <c r="L368">
        <v>0</v>
      </c>
      <c r="M368" t="str">
        <f>IF(D368="Y","",IF(N368="Y",INDEX(#REF!,MATCH(C368,#REF!,0)),C368))</f>
        <v/>
      </c>
      <c r="N368" t="s">
        <v>52</v>
      </c>
      <c r="O368" t="s">
        <v>40</v>
      </c>
      <c r="P368">
        <v>29</v>
      </c>
      <c r="Q368" t="s">
        <v>9</v>
      </c>
      <c r="R368" t="s">
        <v>9</v>
      </c>
      <c r="S368" t="s">
        <v>9</v>
      </c>
      <c r="T368" s="2">
        <v>43922</v>
      </c>
      <c r="U368">
        <v>0</v>
      </c>
      <c r="V368">
        <f t="shared" ca="1" si="5"/>
        <v>0.43735007135393777</v>
      </c>
    </row>
    <row r="369" spans="1:22">
      <c r="A369">
        <v>368</v>
      </c>
      <c r="B369" t="s">
        <v>1</v>
      </c>
      <c r="C369" t="s">
        <v>61</v>
      </c>
      <c r="D369" t="s">
        <v>50</v>
      </c>
      <c r="F369" t="s">
        <v>53</v>
      </c>
      <c r="G369" t="s">
        <v>52</v>
      </c>
      <c r="H369" t="s">
        <v>7</v>
      </c>
      <c r="I369" t="s">
        <v>7</v>
      </c>
      <c r="J369" s="1" t="s">
        <v>39</v>
      </c>
      <c r="K369" t="s">
        <v>39</v>
      </c>
      <c r="L369">
        <v>0</v>
      </c>
      <c r="M369" t="str">
        <f>IF(D369="Y","",IF(N369="Y",INDEX(#REF!,MATCH(C369,#REF!,0)),C369))</f>
        <v/>
      </c>
      <c r="N369" t="s">
        <v>52</v>
      </c>
      <c r="O369" t="s">
        <v>40</v>
      </c>
      <c r="P369">
        <v>29</v>
      </c>
      <c r="Q369" t="s">
        <v>9</v>
      </c>
      <c r="R369" t="s">
        <v>9</v>
      </c>
      <c r="S369" t="s">
        <v>9</v>
      </c>
      <c r="T369" s="2">
        <v>43922</v>
      </c>
      <c r="U369">
        <v>0</v>
      </c>
      <c r="V369">
        <f t="shared" ca="1" si="5"/>
        <v>0.89167037158841789</v>
      </c>
    </row>
    <row r="370" spans="1:22">
      <c r="A370">
        <v>369</v>
      </c>
      <c r="B370" t="s">
        <v>0</v>
      </c>
      <c r="C370" t="s">
        <v>61</v>
      </c>
      <c r="D370" t="s">
        <v>52</v>
      </c>
      <c r="F370" t="s">
        <v>51</v>
      </c>
      <c r="G370" t="s">
        <v>50</v>
      </c>
      <c r="H370" t="s">
        <v>7</v>
      </c>
      <c r="I370" t="s">
        <v>7</v>
      </c>
      <c r="J370" s="1" t="s">
        <v>39</v>
      </c>
      <c r="K370" t="s">
        <v>39</v>
      </c>
      <c r="L370">
        <v>3</v>
      </c>
      <c r="M370" t="str">
        <f>IF(D370="Y","",IF(N370="Y",INDEX(#REF!,MATCH(C370,#REF!,0)),C370))</f>
        <v>5 - Senior Officer</v>
      </c>
      <c r="N370" t="s">
        <v>52</v>
      </c>
      <c r="O370" t="s">
        <v>42</v>
      </c>
      <c r="P370">
        <v>45</v>
      </c>
      <c r="Q370" t="s">
        <v>17</v>
      </c>
      <c r="R370" t="s">
        <v>45</v>
      </c>
      <c r="S370" t="s">
        <v>45</v>
      </c>
      <c r="T370" s="2">
        <v>40634</v>
      </c>
      <c r="U370">
        <v>9</v>
      </c>
      <c r="V370">
        <f t="shared" ca="1" si="5"/>
        <v>0.32656822918351081</v>
      </c>
    </row>
    <row r="371" spans="1:22">
      <c r="A371">
        <v>370</v>
      </c>
      <c r="B371" t="s">
        <v>0</v>
      </c>
      <c r="C371" t="s">
        <v>56</v>
      </c>
      <c r="D371" t="s">
        <v>52</v>
      </c>
      <c r="E371">
        <v>1</v>
      </c>
      <c r="F371" t="s">
        <v>53</v>
      </c>
      <c r="G371" t="s">
        <v>50</v>
      </c>
      <c r="H371" t="s">
        <v>5</v>
      </c>
      <c r="I371" t="s">
        <v>5</v>
      </c>
      <c r="J371" s="1" t="s">
        <v>39</v>
      </c>
      <c r="K371" t="s">
        <v>39</v>
      </c>
      <c r="L371">
        <v>1</v>
      </c>
      <c r="M371" t="str">
        <f>IF(D371="Y","",IF(N371="Y",INDEX(#REF!,MATCH(C371,#REF!,0)),C371))</f>
        <v>6 - Junior Officer</v>
      </c>
      <c r="N371" t="s">
        <v>52</v>
      </c>
      <c r="O371" t="s">
        <v>40</v>
      </c>
      <c r="P371">
        <v>28</v>
      </c>
      <c r="Q371" t="s">
        <v>9</v>
      </c>
      <c r="R371" t="s">
        <v>9</v>
      </c>
      <c r="S371" t="s">
        <v>9</v>
      </c>
      <c r="T371" s="2">
        <v>43556</v>
      </c>
      <c r="U371">
        <v>1</v>
      </c>
      <c r="V371">
        <f t="shared" ca="1" si="5"/>
        <v>0.15339122889312695</v>
      </c>
    </row>
    <row r="372" spans="1:22">
      <c r="A372">
        <v>371</v>
      </c>
      <c r="B372" t="s">
        <v>1</v>
      </c>
      <c r="C372" t="s">
        <v>56</v>
      </c>
      <c r="D372" t="s">
        <v>52</v>
      </c>
      <c r="E372">
        <v>2</v>
      </c>
      <c r="F372" t="s">
        <v>53</v>
      </c>
      <c r="G372" t="s">
        <v>50</v>
      </c>
      <c r="H372" t="s">
        <v>5</v>
      </c>
      <c r="I372" t="s">
        <v>5</v>
      </c>
      <c r="J372" s="1" t="s">
        <v>39</v>
      </c>
      <c r="K372" t="s">
        <v>39</v>
      </c>
      <c r="L372">
        <v>1</v>
      </c>
      <c r="M372" t="str">
        <f>IF(D372="Y","",IF(N372="Y",INDEX(#REF!,MATCH(C372,#REF!,0)),C372))</f>
        <v>6 - Junior Officer</v>
      </c>
      <c r="N372" t="s">
        <v>52</v>
      </c>
      <c r="O372" t="s">
        <v>40</v>
      </c>
      <c r="P372">
        <v>26</v>
      </c>
      <c r="Q372" t="s">
        <v>9</v>
      </c>
      <c r="R372" t="s">
        <v>9</v>
      </c>
      <c r="S372" t="s">
        <v>9</v>
      </c>
      <c r="T372" s="2">
        <v>43556</v>
      </c>
      <c r="U372">
        <v>1</v>
      </c>
      <c r="V372">
        <f t="shared" ca="1" si="5"/>
        <v>0.99388348360796663</v>
      </c>
    </row>
    <row r="373" spans="1:22">
      <c r="A373">
        <v>372</v>
      </c>
      <c r="B373" t="s">
        <v>1</v>
      </c>
      <c r="C373" t="s">
        <v>57</v>
      </c>
      <c r="D373" t="s">
        <v>52</v>
      </c>
      <c r="E373">
        <v>2</v>
      </c>
      <c r="F373" t="s">
        <v>53</v>
      </c>
      <c r="G373" t="s">
        <v>50</v>
      </c>
      <c r="H373" t="s">
        <v>7</v>
      </c>
      <c r="I373" t="s">
        <v>7</v>
      </c>
      <c r="J373" s="1" t="s">
        <v>39</v>
      </c>
      <c r="K373" t="s">
        <v>39</v>
      </c>
      <c r="L373">
        <v>2</v>
      </c>
      <c r="M373" t="str">
        <f>IF(D373="Y","",IF(N373="Y",INDEX(#REF!,MATCH(C373,#REF!,0)),C373))</f>
        <v>4 - Manager</v>
      </c>
      <c r="N373" t="s">
        <v>52</v>
      </c>
      <c r="O373" t="s">
        <v>42</v>
      </c>
      <c r="P373">
        <v>43</v>
      </c>
      <c r="Q373" t="s">
        <v>20</v>
      </c>
      <c r="R373" t="s">
        <v>45</v>
      </c>
      <c r="S373" t="s">
        <v>45</v>
      </c>
      <c r="T373" s="2">
        <v>42095</v>
      </c>
      <c r="U373">
        <v>5</v>
      </c>
      <c r="V373">
        <f t="shared" ca="1" si="5"/>
        <v>0.65501360113760498</v>
      </c>
    </row>
    <row r="374" spans="1:22">
      <c r="A374">
        <v>373</v>
      </c>
      <c r="B374" t="s">
        <v>1</v>
      </c>
      <c r="C374" t="s">
        <v>57</v>
      </c>
      <c r="D374" t="s">
        <v>52</v>
      </c>
      <c r="E374">
        <v>2</v>
      </c>
      <c r="F374" t="s">
        <v>53</v>
      </c>
      <c r="G374" t="s">
        <v>50</v>
      </c>
      <c r="H374" t="s">
        <v>5</v>
      </c>
      <c r="I374" t="s">
        <v>5</v>
      </c>
      <c r="J374" s="1" t="s">
        <v>39</v>
      </c>
      <c r="K374" t="s">
        <v>39</v>
      </c>
      <c r="L374">
        <v>2</v>
      </c>
      <c r="M374" t="str">
        <f>IF(D374="Y","",IF(N374="Y",INDEX(#REF!,MATCH(C374,#REF!,0)),C374))</f>
        <v>4 - Manager</v>
      </c>
      <c r="N374" t="s">
        <v>52</v>
      </c>
      <c r="O374" t="s">
        <v>41</v>
      </c>
      <c r="P374">
        <v>34</v>
      </c>
      <c r="Q374" t="s">
        <v>9</v>
      </c>
      <c r="R374" t="s">
        <v>9</v>
      </c>
      <c r="S374" t="s">
        <v>9</v>
      </c>
      <c r="T374" s="2">
        <v>41000</v>
      </c>
      <c r="U374">
        <v>8</v>
      </c>
      <c r="V374">
        <f t="shared" ca="1" si="5"/>
        <v>4.3015413573761707E-2</v>
      </c>
    </row>
    <row r="375" spans="1:22">
      <c r="A375">
        <v>374</v>
      </c>
      <c r="B375" t="s">
        <v>0</v>
      </c>
      <c r="C375" t="s">
        <v>57</v>
      </c>
      <c r="D375" t="s">
        <v>52</v>
      </c>
      <c r="E375">
        <v>3</v>
      </c>
      <c r="F375" t="s">
        <v>53</v>
      </c>
      <c r="G375" t="s">
        <v>50</v>
      </c>
      <c r="H375" t="s">
        <v>6</v>
      </c>
      <c r="I375" t="s">
        <v>6</v>
      </c>
      <c r="J375" s="1" t="s">
        <v>39</v>
      </c>
      <c r="K375" t="s">
        <v>39</v>
      </c>
      <c r="L375">
        <v>3</v>
      </c>
      <c r="M375" t="str">
        <f>IF(D375="Y","",IF(N375="Y",INDEX(#REF!,MATCH(C375,#REF!,0)),C375))</f>
        <v>4 - Manager</v>
      </c>
      <c r="N375" t="s">
        <v>52</v>
      </c>
      <c r="O375" t="s">
        <v>42</v>
      </c>
      <c r="P375">
        <v>41</v>
      </c>
      <c r="Q375" t="s">
        <v>20</v>
      </c>
      <c r="R375" t="s">
        <v>45</v>
      </c>
      <c r="S375" t="s">
        <v>45</v>
      </c>
      <c r="T375" s="2">
        <v>41730</v>
      </c>
      <c r="U375">
        <v>6</v>
      </c>
      <c r="V375">
        <f t="shared" ca="1" si="5"/>
        <v>0.64488188789168788</v>
      </c>
    </row>
    <row r="376" spans="1:22">
      <c r="A376">
        <v>375</v>
      </c>
      <c r="B376" t="s">
        <v>0</v>
      </c>
      <c r="C376" t="s">
        <v>61</v>
      </c>
      <c r="D376" t="s">
        <v>52</v>
      </c>
      <c r="E376">
        <v>2</v>
      </c>
      <c r="F376" t="s">
        <v>53</v>
      </c>
      <c r="G376" t="s">
        <v>50</v>
      </c>
      <c r="H376" t="s">
        <v>5</v>
      </c>
      <c r="I376" t="s">
        <v>5</v>
      </c>
      <c r="J376" s="1" t="s">
        <v>39</v>
      </c>
      <c r="K376" t="s">
        <v>39</v>
      </c>
      <c r="L376">
        <v>2</v>
      </c>
      <c r="M376" t="str">
        <f>IF(D376="Y","",IF(N376="Y",INDEX(#REF!,MATCH(C376,#REF!,0)),C376))</f>
        <v>5 - Senior Officer</v>
      </c>
      <c r="N376" t="s">
        <v>52</v>
      </c>
      <c r="O376" t="s">
        <v>40</v>
      </c>
      <c r="P376">
        <v>28</v>
      </c>
      <c r="Q376" t="s">
        <v>19</v>
      </c>
      <c r="R376" t="s">
        <v>45</v>
      </c>
      <c r="S376" t="s">
        <v>45</v>
      </c>
      <c r="T376" s="2">
        <v>40634</v>
      </c>
      <c r="U376">
        <v>9</v>
      </c>
      <c r="V376">
        <f t="shared" ca="1" si="5"/>
        <v>0.41639563070417196</v>
      </c>
    </row>
    <row r="377" spans="1:22">
      <c r="A377">
        <v>376</v>
      </c>
      <c r="B377" t="s">
        <v>1</v>
      </c>
      <c r="C377" t="s">
        <v>58</v>
      </c>
      <c r="D377" t="s">
        <v>52</v>
      </c>
      <c r="E377">
        <v>2</v>
      </c>
      <c r="F377" t="s">
        <v>53</v>
      </c>
      <c r="G377" t="s">
        <v>50</v>
      </c>
      <c r="H377" t="s">
        <v>7</v>
      </c>
      <c r="I377" t="s">
        <v>7</v>
      </c>
      <c r="J377" s="1" t="s">
        <v>39</v>
      </c>
      <c r="K377" t="s">
        <v>39</v>
      </c>
      <c r="L377">
        <v>1</v>
      </c>
      <c r="M377" t="e">
        <f>IF(D377="Y","",IF(N377="Y",INDEX(#REF!,MATCH(C377,#REF!,0)),C377))</f>
        <v>#REF!</v>
      </c>
      <c r="N377" t="s">
        <v>50</v>
      </c>
      <c r="O377" t="s">
        <v>41</v>
      </c>
      <c r="P377">
        <v>34</v>
      </c>
      <c r="Q377" t="s">
        <v>9</v>
      </c>
      <c r="R377" t="s">
        <v>9</v>
      </c>
      <c r="S377" t="s">
        <v>9</v>
      </c>
      <c r="T377" s="2">
        <v>42826</v>
      </c>
      <c r="U377">
        <v>3</v>
      </c>
      <c r="V377">
        <f t="shared" ca="1" si="5"/>
        <v>0.45398183026130901</v>
      </c>
    </row>
    <row r="378" spans="1:22">
      <c r="A378">
        <v>377</v>
      </c>
      <c r="B378" t="s">
        <v>0</v>
      </c>
      <c r="C378" t="s">
        <v>56</v>
      </c>
      <c r="D378" t="s">
        <v>52</v>
      </c>
      <c r="E378">
        <v>2</v>
      </c>
      <c r="F378" t="s">
        <v>53</v>
      </c>
      <c r="G378" t="s">
        <v>50</v>
      </c>
      <c r="H378" t="s">
        <v>8</v>
      </c>
      <c r="I378" t="s">
        <v>8</v>
      </c>
      <c r="J378" s="1" t="s">
        <v>39</v>
      </c>
      <c r="K378" t="s">
        <v>39</v>
      </c>
      <c r="L378">
        <v>3</v>
      </c>
      <c r="M378" t="str">
        <f>IF(D378="Y","",IF(N378="Y",INDEX(#REF!,MATCH(C378,#REF!,0)),C378))</f>
        <v>6 - Junior Officer</v>
      </c>
      <c r="N378" t="s">
        <v>52</v>
      </c>
      <c r="O378" t="s">
        <v>40</v>
      </c>
      <c r="P378">
        <v>24</v>
      </c>
      <c r="Q378" t="s">
        <v>9</v>
      </c>
      <c r="R378" t="s">
        <v>9</v>
      </c>
      <c r="S378" t="s">
        <v>9</v>
      </c>
      <c r="T378" s="2">
        <v>42826</v>
      </c>
      <c r="U378">
        <v>3</v>
      </c>
      <c r="V378">
        <f t="shared" ca="1" si="5"/>
        <v>0.99407628006710202</v>
      </c>
    </row>
    <row r="379" spans="1:22">
      <c r="A379">
        <v>378</v>
      </c>
      <c r="B379" t="s">
        <v>1</v>
      </c>
      <c r="C379" t="s">
        <v>56</v>
      </c>
      <c r="D379" t="s">
        <v>50</v>
      </c>
      <c r="F379" t="s">
        <v>53</v>
      </c>
      <c r="G379" t="s">
        <v>52</v>
      </c>
      <c r="H379" t="s">
        <v>5</v>
      </c>
      <c r="I379" t="s">
        <v>5</v>
      </c>
      <c r="J379" s="1" t="s">
        <v>39</v>
      </c>
      <c r="K379" t="s">
        <v>39</v>
      </c>
      <c r="L379">
        <v>0</v>
      </c>
      <c r="M379" t="str">
        <f>IF(D379="Y","",IF(N379="Y",INDEX(#REF!,MATCH(C379,#REF!,0)),C379))</f>
        <v/>
      </c>
      <c r="N379" t="s">
        <v>52</v>
      </c>
      <c r="O379" t="s">
        <v>40</v>
      </c>
      <c r="P379">
        <v>20</v>
      </c>
      <c r="Q379" t="s">
        <v>20</v>
      </c>
      <c r="R379" t="s">
        <v>45</v>
      </c>
      <c r="S379" t="s">
        <v>45</v>
      </c>
      <c r="T379" s="2">
        <v>43922</v>
      </c>
      <c r="U379">
        <v>0</v>
      </c>
      <c r="V379">
        <f t="shared" ca="1" si="5"/>
        <v>0.62754374875102981</v>
      </c>
    </row>
    <row r="380" spans="1:22">
      <c r="A380">
        <v>379</v>
      </c>
      <c r="B380" t="s">
        <v>0</v>
      </c>
      <c r="C380" t="s">
        <v>61</v>
      </c>
      <c r="D380" t="s">
        <v>52</v>
      </c>
      <c r="E380">
        <v>3</v>
      </c>
      <c r="F380" t="s">
        <v>53</v>
      </c>
      <c r="G380" t="s">
        <v>50</v>
      </c>
      <c r="H380" t="s">
        <v>7</v>
      </c>
      <c r="I380" t="s">
        <v>7</v>
      </c>
      <c r="J380" s="1" t="s">
        <v>39</v>
      </c>
      <c r="K380" t="s">
        <v>39</v>
      </c>
      <c r="L380">
        <v>1</v>
      </c>
      <c r="M380" t="e">
        <f>IF(D380="Y","",IF(N380="Y",INDEX(#REF!,MATCH(C380,#REF!,0)),C380))</f>
        <v>#REF!</v>
      </c>
      <c r="N380" t="s">
        <v>50</v>
      </c>
      <c r="O380" t="s">
        <v>40</v>
      </c>
      <c r="P380">
        <v>29</v>
      </c>
      <c r="Q380" t="s">
        <v>15</v>
      </c>
      <c r="R380" t="s">
        <v>45</v>
      </c>
      <c r="S380" t="s">
        <v>45</v>
      </c>
      <c r="T380" s="2">
        <v>41365</v>
      </c>
      <c r="U380">
        <v>7</v>
      </c>
      <c r="V380">
        <f t="shared" ca="1" si="5"/>
        <v>4.5950549329210055E-4</v>
      </c>
    </row>
    <row r="381" spans="1:22">
      <c r="A381">
        <v>380</v>
      </c>
      <c r="B381" t="s">
        <v>0</v>
      </c>
      <c r="C381" t="s">
        <v>56</v>
      </c>
      <c r="D381" t="s">
        <v>52</v>
      </c>
      <c r="E381">
        <v>3</v>
      </c>
      <c r="F381" t="s">
        <v>53</v>
      </c>
      <c r="G381" t="s">
        <v>50</v>
      </c>
      <c r="H381" t="s">
        <v>7</v>
      </c>
      <c r="I381" t="s">
        <v>7</v>
      </c>
      <c r="J381" s="1" t="s">
        <v>39</v>
      </c>
      <c r="K381" t="s">
        <v>39</v>
      </c>
      <c r="L381">
        <v>3</v>
      </c>
      <c r="M381" t="str">
        <f>IF(D381="Y","",IF(N381="Y",INDEX(#REF!,MATCH(C381,#REF!,0)),C381))</f>
        <v>6 - Junior Officer</v>
      </c>
      <c r="N381" t="s">
        <v>52</v>
      </c>
      <c r="O381" t="s">
        <v>40</v>
      </c>
      <c r="P381">
        <v>22</v>
      </c>
      <c r="Q381" t="s">
        <v>9</v>
      </c>
      <c r="R381" t="s">
        <v>9</v>
      </c>
      <c r="S381" t="s">
        <v>9</v>
      </c>
      <c r="T381" s="2">
        <v>42826</v>
      </c>
      <c r="U381">
        <v>3</v>
      </c>
      <c r="V381">
        <f t="shared" ca="1" si="5"/>
        <v>0.19136565621898305</v>
      </c>
    </row>
    <row r="382" spans="1:22">
      <c r="A382">
        <v>381</v>
      </c>
      <c r="B382" t="s">
        <v>1</v>
      </c>
      <c r="C382" t="s">
        <v>56</v>
      </c>
      <c r="D382" t="s">
        <v>52</v>
      </c>
      <c r="E382">
        <v>2</v>
      </c>
      <c r="F382" t="s">
        <v>53</v>
      </c>
      <c r="G382" t="s">
        <v>50</v>
      </c>
      <c r="H382" t="s">
        <v>3</v>
      </c>
      <c r="I382" t="s">
        <v>3</v>
      </c>
      <c r="J382" s="1" t="s">
        <v>39</v>
      </c>
      <c r="K382" t="s">
        <v>39</v>
      </c>
      <c r="L382">
        <v>2</v>
      </c>
      <c r="M382" t="str">
        <f>IF(D382="Y","",IF(N382="Y",INDEX(#REF!,MATCH(C382,#REF!,0)),C382))</f>
        <v>6 - Junior Officer</v>
      </c>
      <c r="N382" t="s">
        <v>52</v>
      </c>
      <c r="O382" t="s">
        <v>40</v>
      </c>
      <c r="P382">
        <v>23</v>
      </c>
      <c r="Q382" t="s">
        <v>9</v>
      </c>
      <c r="R382" t="s">
        <v>9</v>
      </c>
      <c r="S382" t="s">
        <v>9</v>
      </c>
      <c r="T382" s="2">
        <v>43191</v>
      </c>
      <c r="U382">
        <v>2</v>
      </c>
      <c r="V382">
        <f t="shared" ca="1" si="5"/>
        <v>0.89241053271880044</v>
      </c>
    </row>
    <row r="383" spans="1:22">
      <c r="A383">
        <v>382</v>
      </c>
      <c r="B383" t="s">
        <v>1</v>
      </c>
      <c r="C383" t="s">
        <v>56</v>
      </c>
      <c r="D383" t="s">
        <v>52</v>
      </c>
      <c r="E383">
        <v>2</v>
      </c>
      <c r="F383" t="s">
        <v>53</v>
      </c>
      <c r="G383" t="s">
        <v>50</v>
      </c>
      <c r="H383" t="s">
        <v>6</v>
      </c>
      <c r="I383" t="s">
        <v>6</v>
      </c>
      <c r="J383" s="1" t="s">
        <v>39</v>
      </c>
      <c r="K383" t="s">
        <v>39</v>
      </c>
      <c r="L383">
        <v>2</v>
      </c>
      <c r="M383" t="str">
        <f>IF(D383="Y","",IF(N383="Y",INDEX(#REF!,MATCH(C383,#REF!,0)),C383))</f>
        <v>6 - Junior Officer</v>
      </c>
      <c r="N383" t="s">
        <v>52</v>
      </c>
      <c r="O383" t="s">
        <v>40</v>
      </c>
      <c r="P383">
        <v>23</v>
      </c>
      <c r="Q383" t="s">
        <v>9</v>
      </c>
      <c r="R383" t="s">
        <v>9</v>
      </c>
      <c r="S383" t="s">
        <v>9</v>
      </c>
      <c r="T383" s="2">
        <v>43191</v>
      </c>
      <c r="U383">
        <v>2</v>
      </c>
      <c r="V383">
        <f t="shared" ca="1" si="5"/>
        <v>0.25556356576060513</v>
      </c>
    </row>
    <row r="384" spans="1:22">
      <c r="A384">
        <v>383</v>
      </c>
      <c r="B384" t="s">
        <v>1</v>
      </c>
      <c r="C384" s="3" t="s">
        <v>58</v>
      </c>
      <c r="D384" t="s">
        <v>52</v>
      </c>
      <c r="E384">
        <v>2</v>
      </c>
      <c r="F384" t="s">
        <v>51</v>
      </c>
      <c r="G384" t="s">
        <v>50</v>
      </c>
      <c r="H384" t="s">
        <v>7</v>
      </c>
      <c r="I384" t="s">
        <v>7</v>
      </c>
      <c r="J384" s="1" t="s">
        <v>39</v>
      </c>
      <c r="K384" t="s">
        <v>39</v>
      </c>
      <c r="L384">
        <v>3</v>
      </c>
      <c r="M384" t="str">
        <f>IF(D384="Y","",IF(N384="Y",INDEX(#REF!,MATCH(C384,#REF!,0)),C384))</f>
        <v>3 - Senior Manager</v>
      </c>
      <c r="N384" t="s">
        <v>52</v>
      </c>
      <c r="O384" t="s">
        <v>40</v>
      </c>
      <c r="P384">
        <v>28</v>
      </c>
      <c r="Q384" t="s">
        <v>9</v>
      </c>
      <c r="R384" t="s">
        <v>9</v>
      </c>
      <c r="S384" t="s">
        <v>9</v>
      </c>
      <c r="T384" s="2">
        <v>40634</v>
      </c>
      <c r="U384">
        <v>9</v>
      </c>
      <c r="V384">
        <f t="shared" ca="1" si="5"/>
        <v>0.24546734124575986</v>
      </c>
    </row>
    <row r="385" spans="1:22">
      <c r="A385">
        <v>384</v>
      </c>
      <c r="B385" t="s">
        <v>1</v>
      </c>
      <c r="C385" t="s">
        <v>56</v>
      </c>
      <c r="D385" t="s">
        <v>50</v>
      </c>
      <c r="F385" t="s">
        <v>53</v>
      </c>
      <c r="G385" t="s">
        <v>52</v>
      </c>
      <c r="H385" t="s">
        <v>5</v>
      </c>
      <c r="I385" t="s">
        <v>5</v>
      </c>
      <c r="J385" s="1" t="s">
        <v>39</v>
      </c>
      <c r="K385" t="s">
        <v>39</v>
      </c>
      <c r="L385">
        <v>0</v>
      </c>
      <c r="M385" t="str">
        <f>IF(D385="Y","",IF(N385="Y",INDEX(#REF!,MATCH(C385,#REF!,0)),C385))</f>
        <v/>
      </c>
      <c r="N385" t="s">
        <v>52</v>
      </c>
      <c r="O385" t="s">
        <v>40</v>
      </c>
      <c r="P385">
        <v>24</v>
      </c>
      <c r="Q385" t="s">
        <v>15</v>
      </c>
      <c r="R385" t="s">
        <v>45</v>
      </c>
      <c r="S385" t="s">
        <v>45</v>
      </c>
      <c r="T385" s="2">
        <v>43922</v>
      </c>
      <c r="U385">
        <v>0</v>
      </c>
      <c r="V385">
        <f t="shared" ca="1" si="5"/>
        <v>0.90967992144448329</v>
      </c>
    </row>
    <row r="386" spans="1:22">
      <c r="A386">
        <v>385</v>
      </c>
      <c r="B386" t="s">
        <v>1</v>
      </c>
      <c r="C386" t="s">
        <v>58</v>
      </c>
      <c r="D386" t="s">
        <v>52</v>
      </c>
      <c r="E386">
        <v>2</v>
      </c>
      <c r="F386" t="s">
        <v>53</v>
      </c>
      <c r="G386" t="s">
        <v>50</v>
      </c>
      <c r="H386" t="s">
        <v>7</v>
      </c>
      <c r="I386" t="s">
        <v>7</v>
      </c>
      <c r="J386" s="1" t="s">
        <v>39</v>
      </c>
      <c r="K386" t="s">
        <v>39</v>
      </c>
      <c r="L386">
        <v>4</v>
      </c>
      <c r="M386" t="str">
        <f>IF(D386="Y","",IF(N386="Y",INDEX(#REF!,MATCH(C386,#REF!,0)),C386))</f>
        <v>3 - Senior Manager</v>
      </c>
      <c r="N386" t="s">
        <v>52</v>
      </c>
      <c r="O386" t="s">
        <v>42</v>
      </c>
      <c r="P386">
        <v>44</v>
      </c>
      <c r="Q386" t="s">
        <v>20</v>
      </c>
      <c r="R386" t="s">
        <v>45</v>
      </c>
      <c r="S386" t="s">
        <v>45</v>
      </c>
      <c r="T386" s="2">
        <v>42461</v>
      </c>
      <c r="U386">
        <v>4</v>
      </c>
      <c r="V386">
        <f t="shared" ref="V386:V449" ca="1" si="6">RAND()</f>
        <v>0.6999863361056049</v>
      </c>
    </row>
    <row r="387" spans="1:22">
      <c r="A387">
        <v>386</v>
      </c>
      <c r="B387" t="s">
        <v>0</v>
      </c>
      <c r="C387" t="s">
        <v>56</v>
      </c>
      <c r="D387" t="s">
        <v>52</v>
      </c>
      <c r="E387">
        <v>2</v>
      </c>
      <c r="F387" t="s">
        <v>53</v>
      </c>
      <c r="G387" t="s">
        <v>50</v>
      </c>
      <c r="H387" t="s">
        <v>4</v>
      </c>
      <c r="I387" t="s">
        <v>4</v>
      </c>
      <c r="J387" s="1" t="s">
        <v>39</v>
      </c>
      <c r="K387" t="s">
        <v>39</v>
      </c>
      <c r="L387">
        <v>3</v>
      </c>
      <c r="M387" t="str">
        <f>IF(D387="Y","",IF(N387="Y",INDEX(#REF!,MATCH(C387,#REF!,0)),C387))</f>
        <v>6 - Junior Officer</v>
      </c>
      <c r="N387" t="s">
        <v>52</v>
      </c>
      <c r="O387" t="s">
        <v>40</v>
      </c>
      <c r="P387">
        <v>24</v>
      </c>
      <c r="Q387" t="s">
        <v>20</v>
      </c>
      <c r="R387" t="s">
        <v>45</v>
      </c>
      <c r="S387" t="s">
        <v>45</v>
      </c>
      <c r="T387" s="2">
        <v>42826</v>
      </c>
      <c r="U387">
        <v>3</v>
      </c>
      <c r="V387">
        <f t="shared" ca="1" si="6"/>
        <v>0.98955925154821112</v>
      </c>
    </row>
    <row r="388" spans="1:22">
      <c r="A388">
        <v>387</v>
      </c>
      <c r="B388" t="s">
        <v>0</v>
      </c>
      <c r="C388" t="s">
        <v>57</v>
      </c>
      <c r="D388" t="s">
        <v>52</v>
      </c>
      <c r="E388">
        <v>2</v>
      </c>
      <c r="F388" t="s">
        <v>53</v>
      </c>
      <c r="G388" t="s">
        <v>50</v>
      </c>
      <c r="H388" t="s">
        <v>5</v>
      </c>
      <c r="I388" t="s">
        <v>5</v>
      </c>
      <c r="J388" s="1" t="s">
        <v>39</v>
      </c>
      <c r="K388" t="s">
        <v>39</v>
      </c>
      <c r="L388">
        <v>3</v>
      </c>
      <c r="M388" t="str">
        <f>IF(D388="Y","",IF(N388="Y",INDEX(#REF!,MATCH(C388,#REF!,0)),C388))</f>
        <v>4 - Manager</v>
      </c>
      <c r="N388" t="s">
        <v>52</v>
      </c>
      <c r="O388" t="s">
        <v>42</v>
      </c>
      <c r="P388">
        <v>40</v>
      </c>
      <c r="Q388" t="s">
        <v>15</v>
      </c>
      <c r="R388" t="s">
        <v>45</v>
      </c>
      <c r="S388" t="s">
        <v>45</v>
      </c>
      <c r="T388" s="2">
        <v>42095</v>
      </c>
      <c r="U388">
        <v>5</v>
      </c>
      <c r="V388">
        <f t="shared" ca="1" si="6"/>
        <v>9.2383419556602009E-3</v>
      </c>
    </row>
    <row r="389" spans="1:22">
      <c r="A389">
        <v>388</v>
      </c>
      <c r="B389" t="s">
        <v>1</v>
      </c>
      <c r="C389" t="s">
        <v>56</v>
      </c>
      <c r="D389" t="s">
        <v>52</v>
      </c>
      <c r="E389">
        <v>2</v>
      </c>
      <c r="F389" t="s">
        <v>53</v>
      </c>
      <c r="G389" t="s">
        <v>50</v>
      </c>
      <c r="H389" t="s">
        <v>7</v>
      </c>
      <c r="I389" t="s">
        <v>7</v>
      </c>
      <c r="J389" s="1" t="s">
        <v>39</v>
      </c>
      <c r="K389" t="s">
        <v>39</v>
      </c>
      <c r="L389">
        <v>3</v>
      </c>
      <c r="M389" t="str">
        <f>IF(D389="Y","",IF(N389="Y",INDEX(#REF!,MATCH(C389,#REF!,0)),C389))</f>
        <v>6 - Junior Officer</v>
      </c>
      <c r="N389" t="s">
        <v>52</v>
      </c>
      <c r="O389" t="s">
        <v>40</v>
      </c>
      <c r="P389">
        <v>25</v>
      </c>
      <c r="Q389" t="s">
        <v>9</v>
      </c>
      <c r="R389" t="s">
        <v>9</v>
      </c>
      <c r="S389" t="s">
        <v>9</v>
      </c>
      <c r="T389" s="2">
        <v>42826</v>
      </c>
      <c r="U389">
        <v>3</v>
      </c>
      <c r="V389">
        <f t="shared" ca="1" si="6"/>
        <v>0.39945705288008948</v>
      </c>
    </row>
    <row r="390" spans="1:22">
      <c r="A390">
        <v>389</v>
      </c>
      <c r="B390" t="s">
        <v>1</v>
      </c>
      <c r="C390" t="s">
        <v>56</v>
      </c>
      <c r="D390" t="s">
        <v>52</v>
      </c>
      <c r="E390">
        <v>3</v>
      </c>
      <c r="F390" t="s">
        <v>53</v>
      </c>
      <c r="G390" t="s">
        <v>50</v>
      </c>
      <c r="H390" t="s">
        <v>5</v>
      </c>
      <c r="I390" t="s">
        <v>5</v>
      </c>
      <c r="J390" s="1" t="s">
        <v>39</v>
      </c>
      <c r="K390" t="s">
        <v>39</v>
      </c>
      <c r="L390">
        <v>3</v>
      </c>
      <c r="M390" t="str">
        <f>IF(D390="Y","",IF(N390="Y",INDEX(#REF!,MATCH(C390,#REF!,0)),C390))</f>
        <v>6 - Junior Officer</v>
      </c>
      <c r="N390" t="s">
        <v>52</v>
      </c>
      <c r="O390" t="s">
        <v>40</v>
      </c>
      <c r="P390">
        <v>20</v>
      </c>
      <c r="Q390" t="s">
        <v>9</v>
      </c>
      <c r="R390" t="s">
        <v>9</v>
      </c>
      <c r="S390" t="s">
        <v>9</v>
      </c>
      <c r="T390" s="2">
        <v>42826</v>
      </c>
      <c r="U390">
        <v>3</v>
      </c>
      <c r="V390">
        <f t="shared" ca="1" si="6"/>
        <v>0.85482134724497805</v>
      </c>
    </row>
    <row r="391" spans="1:22">
      <c r="A391">
        <v>390</v>
      </c>
      <c r="B391" t="s">
        <v>1</v>
      </c>
      <c r="C391" t="s">
        <v>56</v>
      </c>
      <c r="D391" t="s">
        <v>52</v>
      </c>
      <c r="E391">
        <v>2</v>
      </c>
      <c r="F391" t="s">
        <v>53</v>
      </c>
      <c r="G391" t="s">
        <v>50</v>
      </c>
      <c r="H391" t="s">
        <v>6</v>
      </c>
      <c r="I391" t="s">
        <v>6</v>
      </c>
      <c r="J391" s="1" t="s">
        <v>39</v>
      </c>
      <c r="K391" t="s">
        <v>39</v>
      </c>
      <c r="L391">
        <v>2</v>
      </c>
      <c r="M391" t="str">
        <f>IF(D391="Y","",IF(N391="Y",INDEX(#REF!,MATCH(C391,#REF!,0)),C391))</f>
        <v>6 - Junior Officer</v>
      </c>
      <c r="N391" t="s">
        <v>52</v>
      </c>
      <c r="O391" t="s">
        <v>40</v>
      </c>
      <c r="P391">
        <v>24</v>
      </c>
      <c r="Q391" t="s">
        <v>9</v>
      </c>
      <c r="R391" t="s">
        <v>9</v>
      </c>
      <c r="S391" t="s">
        <v>9</v>
      </c>
      <c r="T391" s="2">
        <v>43191</v>
      </c>
      <c r="U391">
        <v>2</v>
      </c>
      <c r="V391">
        <f t="shared" ca="1" si="6"/>
        <v>0.82546044415798714</v>
      </c>
    </row>
    <row r="392" spans="1:22">
      <c r="A392">
        <v>391</v>
      </c>
      <c r="B392" t="s">
        <v>1</v>
      </c>
      <c r="C392" t="s">
        <v>57</v>
      </c>
      <c r="D392" t="s">
        <v>52</v>
      </c>
      <c r="E392">
        <v>2</v>
      </c>
      <c r="F392" t="s">
        <v>53</v>
      </c>
      <c r="G392" t="s">
        <v>50</v>
      </c>
      <c r="H392" t="s">
        <v>6</v>
      </c>
      <c r="I392" t="s">
        <v>6</v>
      </c>
      <c r="J392" s="1" t="s">
        <v>39</v>
      </c>
      <c r="K392" t="s">
        <v>39</v>
      </c>
      <c r="L392">
        <v>5</v>
      </c>
      <c r="M392" t="str">
        <f>IF(D392="Y","",IF(N392="Y",INDEX(#REF!,MATCH(C392,#REF!,0)),C392))</f>
        <v>4 - Manager</v>
      </c>
      <c r="N392" t="s">
        <v>52</v>
      </c>
      <c r="O392" t="s">
        <v>41</v>
      </c>
      <c r="P392">
        <v>36</v>
      </c>
      <c r="Q392" t="s">
        <v>9</v>
      </c>
      <c r="R392" t="s">
        <v>9</v>
      </c>
      <c r="S392" t="s">
        <v>9</v>
      </c>
      <c r="T392" s="2">
        <v>41000</v>
      </c>
      <c r="U392">
        <v>8</v>
      </c>
      <c r="V392">
        <f t="shared" ca="1" si="6"/>
        <v>0.76877363289725897</v>
      </c>
    </row>
    <row r="393" spans="1:22">
      <c r="A393">
        <v>392</v>
      </c>
      <c r="B393" t="s">
        <v>1</v>
      </c>
      <c r="C393" t="s">
        <v>58</v>
      </c>
      <c r="D393" t="s">
        <v>52</v>
      </c>
      <c r="E393">
        <v>3</v>
      </c>
      <c r="F393" t="s">
        <v>53</v>
      </c>
      <c r="G393" t="s">
        <v>50</v>
      </c>
      <c r="H393" t="s">
        <v>5</v>
      </c>
      <c r="I393" t="s">
        <v>5</v>
      </c>
      <c r="J393" s="1" t="s">
        <v>39</v>
      </c>
      <c r="K393" t="s">
        <v>39</v>
      </c>
      <c r="L393">
        <v>1</v>
      </c>
      <c r="M393" t="e">
        <f>IF(D393="Y","",IF(N393="Y",INDEX(#REF!,MATCH(C393,#REF!,0)),C393))</f>
        <v>#REF!</v>
      </c>
      <c r="N393" t="s">
        <v>50</v>
      </c>
      <c r="O393" t="s">
        <v>42</v>
      </c>
      <c r="P393">
        <v>41</v>
      </c>
      <c r="Q393" t="s">
        <v>20</v>
      </c>
      <c r="R393" t="s">
        <v>45</v>
      </c>
      <c r="S393" t="s">
        <v>45</v>
      </c>
      <c r="T393" s="2">
        <v>41730</v>
      </c>
      <c r="U393">
        <v>6</v>
      </c>
      <c r="V393">
        <f t="shared" ca="1" si="6"/>
        <v>0.89657314480868588</v>
      </c>
    </row>
    <row r="394" spans="1:22">
      <c r="A394">
        <v>393</v>
      </c>
      <c r="B394" t="s">
        <v>1</v>
      </c>
      <c r="C394" t="s">
        <v>61</v>
      </c>
      <c r="D394" t="s">
        <v>52</v>
      </c>
      <c r="E394">
        <v>2</v>
      </c>
      <c r="F394" t="s">
        <v>53</v>
      </c>
      <c r="G394" t="s">
        <v>50</v>
      </c>
      <c r="H394" t="s">
        <v>5</v>
      </c>
      <c r="I394" t="s">
        <v>5</v>
      </c>
      <c r="J394" s="1" t="s">
        <v>39</v>
      </c>
      <c r="K394" t="s">
        <v>39</v>
      </c>
      <c r="L394">
        <v>3</v>
      </c>
      <c r="M394" t="str">
        <f>IF(D394="Y","",IF(N394="Y",INDEX(#REF!,MATCH(C394,#REF!,0)),C394))</f>
        <v>5 - Senior Officer</v>
      </c>
      <c r="N394" t="s">
        <v>52</v>
      </c>
      <c r="O394" t="s">
        <v>40</v>
      </c>
      <c r="P394">
        <v>28</v>
      </c>
      <c r="Q394" t="s">
        <v>9</v>
      </c>
      <c r="R394" t="s">
        <v>9</v>
      </c>
      <c r="S394" t="s">
        <v>9</v>
      </c>
      <c r="T394" s="2">
        <v>40634</v>
      </c>
      <c r="U394">
        <v>9</v>
      </c>
      <c r="V394">
        <f t="shared" ca="1" si="6"/>
        <v>0.71085368403479998</v>
      </c>
    </row>
    <row r="395" spans="1:22">
      <c r="A395">
        <v>394</v>
      </c>
      <c r="B395" t="s">
        <v>1</v>
      </c>
      <c r="C395" t="s">
        <v>57</v>
      </c>
      <c r="D395" t="s">
        <v>52</v>
      </c>
      <c r="E395">
        <v>3</v>
      </c>
      <c r="F395" t="s">
        <v>53</v>
      </c>
      <c r="G395" t="s">
        <v>50</v>
      </c>
      <c r="H395" t="s">
        <v>5</v>
      </c>
      <c r="I395" t="s">
        <v>5</v>
      </c>
      <c r="J395" s="1" t="s">
        <v>39</v>
      </c>
      <c r="K395" t="s">
        <v>39</v>
      </c>
      <c r="L395">
        <v>5</v>
      </c>
      <c r="M395" t="str">
        <f>IF(D395="Y","",IF(N395="Y",INDEX(#REF!,MATCH(C395,#REF!,0)),C395))</f>
        <v>4 - Manager</v>
      </c>
      <c r="N395" t="s">
        <v>52</v>
      </c>
      <c r="O395" t="s">
        <v>41</v>
      </c>
      <c r="P395">
        <v>34</v>
      </c>
      <c r="Q395" t="s">
        <v>9</v>
      </c>
      <c r="R395" t="s">
        <v>9</v>
      </c>
      <c r="S395" t="s">
        <v>9</v>
      </c>
      <c r="T395" s="2">
        <v>41365</v>
      </c>
      <c r="U395">
        <v>7</v>
      </c>
      <c r="V395">
        <f t="shared" ca="1" si="6"/>
        <v>0.95712889059370609</v>
      </c>
    </row>
    <row r="396" spans="1:22">
      <c r="A396">
        <v>395</v>
      </c>
      <c r="B396" t="s">
        <v>1</v>
      </c>
      <c r="C396" t="s">
        <v>56</v>
      </c>
      <c r="D396" t="s">
        <v>52</v>
      </c>
      <c r="E396">
        <v>2</v>
      </c>
      <c r="F396" t="s">
        <v>53</v>
      </c>
      <c r="G396" t="s">
        <v>50</v>
      </c>
      <c r="H396" t="s">
        <v>5</v>
      </c>
      <c r="I396" t="s">
        <v>5</v>
      </c>
      <c r="J396" s="1" t="s">
        <v>39</v>
      </c>
      <c r="K396" t="s">
        <v>39</v>
      </c>
      <c r="L396">
        <v>3</v>
      </c>
      <c r="M396" t="str">
        <f>IF(D396="Y","",IF(N396="Y",INDEX(#REF!,MATCH(C396,#REF!,0)),C396))</f>
        <v>6 - Junior Officer</v>
      </c>
      <c r="N396" t="s">
        <v>52</v>
      </c>
      <c r="O396" t="s">
        <v>40</v>
      </c>
      <c r="P396">
        <v>22</v>
      </c>
      <c r="Q396" t="s">
        <v>20</v>
      </c>
      <c r="R396" t="s">
        <v>45</v>
      </c>
      <c r="S396" t="s">
        <v>45</v>
      </c>
      <c r="T396" s="2">
        <v>42826</v>
      </c>
      <c r="U396">
        <v>3</v>
      </c>
      <c r="V396">
        <f t="shared" ca="1" si="6"/>
        <v>4.4999415088451178E-2</v>
      </c>
    </row>
    <row r="397" spans="1:22">
      <c r="A397">
        <v>396</v>
      </c>
      <c r="B397" t="s">
        <v>0</v>
      </c>
      <c r="C397" t="s">
        <v>56</v>
      </c>
      <c r="D397" t="s">
        <v>52</v>
      </c>
      <c r="E397">
        <v>3</v>
      </c>
      <c r="F397" t="s">
        <v>53</v>
      </c>
      <c r="G397" t="s">
        <v>50</v>
      </c>
      <c r="H397" t="s">
        <v>7</v>
      </c>
      <c r="I397" t="s">
        <v>7</v>
      </c>
      <c r="J397" s="1" t="s">
        <v>39</v>
      </c>
      <c r="K397" t="s">
        <v>39</v>
      </c>
      <c r="L397">
        <v>1</v>
      </c>
      <c r="M397" t="str">
        <f>IF(D397="Y","",IF(N397="Y",INDEX(#REF!,MATCH(C397,#REF!,0)),C397))</f>
        <v>6 - Junior Officer</v>
      </c>
      <c r="N397" t="s">
        <v>52</v>
      </c>
      <c r="O397" t="s">
        <v>40</v>
      </c>
      <c r="P397">
        <v>28</v>
      </c>
      <c r="Q397" t="s">
        <v>20</v>
      </c>
      <c r="R397" t="s">
        <v>45</v>
      </c>
      <c r="S397" t="s">
        <v>45</v>
      </c>
      <c r="T397" s="2">
        <v>43556</v>
      </c>
      <c r="U397">
        <v>1</v>
      </c>
      <c r="V397">
        <f t="shared" ca="1" si="6"/>
        <v>2.913655514759883E-2</v>
      </c>
    </row>
    <row r="398" spans="1:22">
      <c r="A398">
        <v>397</v>
      </c>
      <c r="B398" t="s">
        <v>1</v>
      </c>
      <c r="C398" t="s">
        <v>57</v>
      </c>
      <c r="D398" t="s">
        <v>50</v>
      </c>
      <c r="F398" t="s">
        <v>53</v>
      </c>
      <c r="G398" t="s">
        <v>52</v>
      </c>
      <c r="H398" t="s">
        <v>7</v>
      </c>
      <c r="I398" t="s">
        <v>7</v>
      </c>
      <c r="J398" s="1" t="s">
        <v>39</v>
      </c>
      <c r="K398" t="s">
        <v>39</v>
      </c>
      <c r="L398">
        <v>0</v>
      </c>
      <c r="M398" t="str">
        <f>IF(D398="Y","",IF(N398="Y",INDEX(#REF!,MATCH(C398,#REF!,0)),C398))</f>
        <v/>
      </c>
      <c r="N398" t="s">
        <v>52</v>
      </c>
      <c r="O398" t="s">
        <v>41</v>
      </c>
      <c r="P398">
        <v>32</v>
      </c>
      <c r="Q398" t="s">
        <v>9</v>
      </c>
      <c r="R398" t="s">
        <v>9</v>
      </c>
      <c r="S398" t="s">
        <v>9</v>
      </c>
      <c r="T398" s="2">
        <v>43922</v>
      </c>
      <c r="U398">
        <v>0</v>
      </c>
      <c r="V398">
        <f t="shared" ca="1" si="6"/>
        <v>0.71502191913272317</v>
      </c>
    </row>
    <row r="399" spans="1:22">
      <c r="A399">
        <v>398</v>
      </c>
      <c r="B399" t="s">
        <v>1</v>
      </c>
      <c r="C399" t="s">
        <v>57</v>
      </c>
      <c r="D399" t="s">
        <v>52</v>
      </c>
      <c r="E399">
        <v>2</v>
      </c>
      <c r="F399" t="s">
        <v>53</v>
      </c>
      <c r="G399" t="s">
        <v>50</v>
      </c>
      <c r="H399" t="s">
        <v>5</v>
      </c>
      <c r="I399" t="s">
        <v>5</v>
      </c>
      <c r="J399" s="1" t="s">
        <v>39</v>
      </c>
      <c r="K399" t="s">
        <v>39</v>
      </c>
      <c r="L399">
        <v>1</v>
      </c>
      <c r="M399" t="e">
        <f>IF(D399="Y","",IF(N399="Y",INDEX(#REF!,MATCH(C399,#REF!,0)),C399))</f>
        <v>#REF!</v>
      </c>
      <c r="N399" t="s">
        <v>50</v>
      </c>
      <c r="O399" t="s">
        <v>41</v>
      </c>
      <c r="P399">
        <v>34</v>
      </c>
      <c r="Q399" t="s">
        <v>20</v>
      </c>
      <c r="R399" t="s">
        <v>45</v>
      </c>
      <c r="S399" t="s">
        <v>45</v>
      </c>
      <c r="T399" s="2">
        <v>40634</v>
      </c>
      <c r="U399">
        <v>9</v>
      </c>
      <c r="V399">
        <f t="shared" ca="1" si="6"/>
        <v>0.23247001927369781</v>
      </c>
    </row>
    <row r="400" spans="1:22">
      <c r="A400">
        <v>399</v>
      </c>
      <c r="B400" t="s">
        <v>1</v>
      </c>
      <c r="C400" t="s">
        <v>56</v>
      </c>
      <c r="D400" t="s">
        <v>52</v>
      </c>
      <c r="E400">
        <v>2</v>
      </c>
      <c r="F400" t="s">
        <v>53</v>
      </c>
      <c r="G400" t="s">
        <v>50</v>
      </c>
      <c r="H400" t="s">
        <v>7</v>
      </c>
      <c r="I400" t="s">
        <v>7</v>
      </c>
      <c r="J400" s="1" t="s">
        <v>39</v>
      </c>
      <c r="K400" t="s">
        <v>39</v>
      </c>
      <c r="L400">
        <v>3</v>
      </c>
      <c r="M400" t="str">
        <f>IF(D400="Y","",IF(N400="Y",INDEX(#REF!,MATCH(C400,#REF!,0)),C400))</f>
        <v>6 - Junior Officer</v>
      </c>
      <c r="N400" t="s">
        <v>52</v>
      </c>
      <c r="O400" t="s">
        <v>40</v>
      </c>
      <c r="P400">
        <v>21</v>
      </c>
      <c r="Q400" t="s">
        <v>19</v>
      </c>
      <c r="R400" t="s">
        <v>45</v>
      </c>
      <c r="S400" t="s">
        <v>45</v>
      </c>
      <c r="T400" s="2">
        <v>42826</v>
      </c>
      <c r="U400">
        <v>3</v>
      </c>
      <c r="V400">
        <f t="shared" ca="1" si="6"/>
        <v>0.39790336099143531</v>
      </c>
    </row>
    <row r="401" spans="1:22">
      <c r="A401">
        <v>400</v>
      </c>
      <c r="B401" t="s">
        <v>0</v>
      </c>
      <c r="C401" t="s">
        <v>56</v>
      </c>
      <c r="D401" t="s">
        <v>50</v>
      </c>
      <c r="F401" t="s">
        <v>53</v>
      </c>
      <c r="G401" t="s">
        <v>52</v>
      </c>
      <c r="H401" t="s">
        <v>5</v>
      </c>
      <c r="I401" t="s">
        <v>5</v>
      </c>
      <c r="J401" s="1" t="s">
        <v>39</v>
      </c>
      <c r="K401" t="s">
        <v>39</v>
      </c>
      <c r="L401">
        <v>0</v>
      </c>
      <c r="M401" t="str">
        <f>IF(D401="Y","",IF(N401="Y",INDEX(#REF!,MATCH(C401,#REF!,0)),C401))</f>
        <v/>
      </c>
      <c r="N401" t="s">
        <v>52</v>
      </c>
      <c r="O401" t="s">
        <v>40</v>
      </c>
      <c r="P401">
        <v>22</v>
      </c>
      <c r="Q401" t="s">
        <v>19</v>
      </c>
      <c r="R401" t="s">
        <v>45</v>
      </c>
      <c r="S401" t="s">
        <v>45</v>
      </c>
      <c r="T401" s="2">
        <v>43922</v>
      </c>
      <c r="U401">
        <v>0</v>
      </c>
      <c r="V401">
        <f t="shared" ca="1" si="6"/>
        <v>0.34452896365265406</v>
      </c>
    </row>
    <row r="402" spans="1:22">
      <c r="A402">
        <v>401</v>
      </c>
      <c r="B402" t="s">
        <v>0</v>
      </c>
      <c r="C402" t="s">
        <v>56</v>
      </c>
      <c r="D402" t="s">
        <v>52</v>
      </c>
      <c r="E402">
        <v>4</v>
      </c>
      <c r="F402" t="s">
        <v>53</v>
      </c>
      <c r="G402" t="s">
        <v>50</v>
      </c>
      <c r="H402" t="s">
        <v>5</v>
      </c>
      <c r="I402" t="s">
        <v>5</v>
      </c>
      <c r="J402" s="1" t="s">
        <v>39</v>
      </c>
      <c r="K402" t="s">
        <v>39</v>
      </c>
      <c r="L402">
        <v>2</v>
      </c>
      <c r="M402" t="str">
        <f>IF(D402="Y","",IF(N402="Y",INDEX(#REF!,MATCH(C402,#REF!,0)),C402))</f>
        <v>6 - Junior Officer</v>
      </c>
      <c r="N402" t="s">
        <v>52</v>
      </c>
      <c r="O402" t="s">
        <v>40</v>
      </c>
      <c r="P402">
        <v>26</v>
      </c>
      <c r="Q402" t="s">
        <v>19</v>
      </c>
      <c r="R402" t="s">
        <v>45</v>
      </c>
      <c r="S402" t="s">
        <v>45</v>
      </c>
      <c r="T402" s="2">
        <v>43191</v>
      </c>
      <c r="U402">
        <v>2</v>
      </c>
      <c r="V402">
        <f t="shared" ca="1" si="6"/>
        <v>0.99849523137418461</v>
      </c>
    </row>
    <row r="403" spans="1:22">
      <c r="A403">
        <v>402</v>
      </c>
      <c r="B403" t="s">
        <v>0</v>
      </c>
      <c r="C403" t="s">
        <v>61</v>
      </c>
      <c r="D403" t="s">
        <v>50</v>
      </c>
      <c r="F403" t="s">
        <v>53</v>
      </c>
      <c r="G403" t="s">
        <v>52</v>
      </c>
      <c r="H403" t="s">
        <v>5</v>
      </c>
      <c r="I403" t="s">
        <v>5</v>
      </c>
      <c r="J403" s="1">
        <v>0.8</v>
      </c>
      <c r="K403" t="s">
        <v>38</v>
      </c>
      <c r="L403">
        <v>0</v>
      </c>
      <c r="M403" t="str">
        <f>IF(D403="Y","",IF(N403="Y",INDEX(#REF!,MATCH(C403,#REF!,0)),C403))</f>
        <v/>
      </c>
      <c r="N403" t="s">
        <v>52</v>
      </c>
      <c r="O403" t="s">
        <v>41</v>
      </c>
      <c r="P403">
        <v>33</v>
      </c>
      <c r="Q403" t="s">
        <v>9</v>
      </c>
      <c r="R403" t="s">
        <v>9</v>
      </c>
      <c r="S403" t="s">
        <v>9</v>
      </c>
      <c r="T403" s="2">
        <v>43922</v>
      </c>
      <c r="U403">
        <v>0</v>
      </c>
      <c r="V403">
        <f t="shared" ca="1" si="6"/>
        <v>0.75981326386193537</v>
      </c>
    </row>
    <row r="404" spans="1:22">
      <c r="A404">
        <v>403</v>
      </c>
      <c r="B404" t="s">
        <v>1</v>
      </c>
      <c r="C404" t="s">
        <v>56</v>
      </c>
      <c r="D404" t="s">
        <v>52</v>
      </c>
      <c r="E404">
        <v>2</v>
      </c>
      <c r="F404" t="s">
        <v>53</v>
      </c>
      <c r="G404" t="s">
        <v>50</v>
      </c>
      <c r="H404" t="s">
        <v>7</v>
      </c>
      <c r="I404" t="s">
        <v>7</v>
      </c>
      <c r="J404" s="1" t="s">
        <v>39</v>
      </c>
      <c r="K404" t="s">
        <v>39</v>
      </c>
      <c r="L404">
        <v>3</v>
      </c>
      <c r="M404" t="str">
        <f>IF(D404="Y","",IF(N404="Y",INDEX(#REF!,MATCH(C404,#REF!,0)),C404))</f>
        <v>6 - Junior Officer</v>
      </c>
      <c r="N404" t="s">
        <v>52</v>
      </c>
      <c r="O404" t="s">
        <v>40</v>
      </c>
      <c r="P404">
        <v>23</v>
      </c>
      <c r="Q404" t="s">
        <v>20</v>
      </c>
      <c r="R404" t="s">
        <v>45</v>
      </c>
      <c r="S404" t="s">
        <v>45</v>
      </c>
      <c r="T404" s="2">
        <v>42826</v>
      </c>
      <c r="U404">
        <v>3</v>
      </c>
      <c r="V404">
        <f t="shared" ca="1" si="6"/>
        <v>0.96679085392672881</v>
      </c>
    </row>
    <row r="405" spans="1:22">
      <c r="A405">
        <v>404</v>
      </c>
      <c r="B405" t="s">
        <v>1</v>
      </c>
      <c r="C405" t="s">
        <v>60</v>
      </c>
      <c r="D405" t="s">
        <v>52</v>
      </c>
      <c r="F405" t="s">
        <v>53</v>
      </c>
      <c r="G405" t="s">
        <v>50</v>
      </c>
      <c r="H405" t="s">
        <v>8</v>
      </c>
      <c r="I405" t="s">
        <v>8</v>
      </c>
      <c r="J405" s="1" t="s">
        <v>39</v>
      </c>
      <c r="K405" t="s">
        <v>39</v>
      </c>
      <c r="L405">
        <v>2</v>
      </c>
      <c r="M405" t="str">
        <f>IF(D405="Y","",IF(N405="Y",INDEX(#REF!,MATCH(C405,#REF!,0)),C405))</f>
        <v>1 - Executive</v>
      </c>
      <c r="N405" t="s">
        <v>52</v>
      </c>
      <c r="O405" t="s">
        <v>43</v>
      </c>
      <c r="P405">
        <v>50</v>
      </c>
      <c r="Q405" t="s">
        <v>20</v>
      </c>
      <c r="R405" t="s">
        <v>45</v>
      </c>
      <c r="S405" t="s">
        <v>45</v>
      </c>
      <c r="T405" s="2">
        <v>42461</v>
      </c>
      <c r="U405">
        <v>4</v>
      </c>
      <c r="V405">
        <f t="shared" ca="1" si="6"/>
        <v>0.45635924260109484</v>
      </c>
    </row>
    <row r="406" spans="1:22">
      <c r="A406">
        <v>405</v>
      </c>
      <c r="B406" t="s">
        <v>1</v>
      </c>
      <c r="C406" t="s">
        <v>60</v>
      </c>
      <c r="D406" t="s">
        <v>52</v>
      </c>
      <c r="F406" t="s">
        <v>53</v>
      </c>
      <c r="G406" t="s">
        <v>50</v>
      </c>
      <c r="H406" t="s">
        <v>8</v>
      </c>
      <c r="I406" t="s">
        <v>8</v>
      </c>
      <c r="J406" s="1" t="s">
        <v>39</v>
      </c>
      <c r="K406" t="s">
        <v>39</v>
      </c>
      <c r="L406">
        <v>5</v>
      </c>
      <c r="M406" t="str">
        <f>IF(D406="Y","",IF(N406="Y",INDEX(#REF!,MATCH(C406,#REF!,0)),C406))</f>
        <v>1 - Executive</v>
      </c>
      <c r="N406" t="s">
        <v>52</v>
      </c>
      <c r="O406" t="s">
        <v>42</v>
      </c>
      <c r="P406">
        <v>47</v>
      </c>
      <c r="Q406" t="s">
        <v>9</v>
      </c>
      <c r="R406" t="s">
        <v>9</v>
      </c>
      <c r="S406" t="s">
        <v>9</v>
      </c>
      <c r="T406" s="2">
        <v>41000</v>
      </c>
      <c r="U406">
        <v>8</v>
      </c>
      <c r="V406">
        <f t="shared" ca="1" si="6"/>
        <v>0.35663232972776249</v>
      </c>
    </row>
    <row r="407" spans="1:22">
      <c r="A407">
        <v>406</v>
      </c>
      <c r="B407" t="s">
        <v>1</v>
      </c>
      <c r="C407" t="s">
        <v>58</v>
      </c>
      <c r="D407" t="s">
        <v>52</v>
      </c>
      <c r="E407">
        <v>2</v>
      </c>
      <c r="F407" t="s">
        <v>53</v>
      </c>
      <c r="G407" t="s">
        <v>50</v>
      </c>
      <c r="H407" t="s">
        <v>5</v>
      </c>
      <c r="I407" t="s">
        <v>5</v>
      </c>
      <c r="J407" s="1" t="s">
        <v>39</v>
      </c>
      <c r="K407" t="s">
        <v>39</v>
      </c>
      <c r="L407">
        <v>2</v>
      </c>
      <c r="M407" t="str">
        <f>IF(D407="Y","",IF(N407="Y",INDEX(#REF!,MATCH(C407,#REF!,0)),C407))</f>
        <v>3 - Senior Manager</v>
      </c>
      <c r="N407" t="s">
        <v>52</v>
      </c>
      <c r="O407" t="s">
        <v>41</v>
      </c>
      <c r="P407">
        <v>36</v>
      </c>
      <c r="Q407" t="s">
        <v>20</v>
      </c>
      <c r="R407" t="s">
        <v>45</v>
      </c>
      <c r="S407" t="s">
        <v>45</v>
      </c>
      <c r="T407" s="2">
        <v>42826</v>
      </c>
      <c r="U407">
        <v>3</v>
      </c>
      <c r="V407">
        <f t="shared" ca="1" si="6"/>
        <v>0.95165790830596797</v>
      </c>
    </row>
    <row r="408" spans="1:22">
      <c r="A408">
        <v>407</v>
      </c>
      <c r="B408" t="s">
        <v>1</v>
      </c>
      <c r="C408" t="s">
        <v>59</v>
      </c>
      <c r="D408" t="s">
        <v>52</v>
      </c>
      <c r="E408">
        <v>2</v>
      </c>
      <c r="F408" t="s">
        <v>53</v>
      </c>
      <c r="G408" t="s">
        <v>50</v>
      </c>
      <c r="H408" t="s">
        <v>6</v>
      </c>
      <c r="I408" t="s">
        <v>6</v>
      </c>
      <c r="J408" s="1" t="s">
        <v>39</v>
      </c>
      <c r="K408" t="s">
        <v>39</v>
      </c>
      <c r="L408">
        <v>3</v>
      </c>
      <c r="M408" t="str">
        <f>IF(D408="Y","",IF(N408="Y",INDEX(#REF!,MATCH(C408,#REF!,0)),C408))</f>
        <v>2 - Director</v>
      </c>
      <c r="N408" t="s">
        <v>52</v>
      </c>
      <c r="O408" t="s">
        <v>44</v>
      </c>
      <c r="P408">
        <v>61</v>
      </c>
      <c r="Q408" t="s">
        <v>9</v>
      </c>
      <c r="R408" t="s">
        <v>9</v>
      </c>
      <c r="S408" t="s">
        <v>9</v>
      </c>
      <c r="T408" s="2">
        <v>42095</v>
      </c>
      <c r="U408">
        <v>5</v>
      </c>
      <c r="V408">
        <f t="shared" ca="1" si="6"/>
        <v>0.76100119814118716</v>
      </c>
    </row>
    <row r="409" spans="1:22">
      <c r="A409">
        <v>408</v>
      </c>
      <c r="B409" t="s">
        <v>1</v>
      </c>
      <c r="C409" t="s">
        <v>61</v>
      </c>
      <c r="D409" t="s">
        <v>52</v>
      </c>
      <c r="E409">
        <v>2</v>
      </c>
      <c r="F409" t="s">
        <v>53</v>
      </c>
      <c r="G409" t="s">
        <v>50</v>
      </c>
      <c r="H409" t="s">
        <v>7</v>
      </c>
      <c r="I409" t="s">
        <v>7</v>
      </c>
      <c r="J409" s="1" t="s">
        <v>39</v>
      </c>
      <c r="K409" t="s">
        <v>39</v>
      </c>
      <c r="L409">
        <v>5</v>
      </c>
      <c r="M409" t="str">
        <f>IF(D409="Y","",IF(N409="Y",INDEX(#REF!,MATCH(C409,#REF!,0)),C409))</f>
        <v>5 - Senior Officer</v>
      </c>
      <c r="N409" t="s">
        <v>52</v>
      </c>
      <c r="O409" t="s">
        <v>40</v>
      </c>
      <c r="P409">
        <v>26</v>
      </c>
      <c r="Q409" t="s">
        <v>9</v>
      </c>
      <c r="R409" t="s">
        <v>9</v>
      </c>
      <c r="S409" t="s">
        <v>9</v>
      </c>
      <c r="T409" s="2">
        <v>42095</v>
      </c>
      <c r="U409">
        <v>5</v>
      </c>
      <c r="V409">
        <f t="shared" ca="1" si="6"/>
        <v>0.16498827702073393</v>
      </c>
    </row>
    <row r="410" spans="1:22">
      <c r="A410">
        <v>409</v>
      </c>
      <c r="B410" t="s">
        <v>0</v>
      </c>
      <c r="C410" t="s">
        <v>56</v>
      </c>
      <c r="D410" t="s">
        <v>52</v>
      </c>
      <c r="E410">
        <v>2</v>
      </c>
      <c r="F410" t="s">
        <v>53</v>
      </c>
      <c r="G410" t="s">
        <v>50</v>
      </c>
      <c r="H410" t="s">
        <v>7</v>
      </c>
      <c r="I410" t="s">
        <v>7</v>
      </c>
      <c r="J410" s="1" t="s">
        <v>39</v>
      </c>
      <c r="K410" t="s">
        <v>39</v>
      </c>
      <c r="L410">
        <v>5</v>
      </c>
      <c r="M410" t="str">
        <f>IF(D410="Y","",IF(N410="Y",INDEX(#REF!,MATCH(C410,#REF!,0)),C410))</f>
        <v>6 - Junior Officer</v>
      </c>
      <c r="N410" t="s">
        <v>52</v>
      </c>
      <c r="O410" t="s">
        <v>40</v>
      </c>
      <c r="P410">
        <v>24</v>
      </c>
      <c r="Q410" t="s">
        <v>9</v>
      </c>
      <c r="R410" t="s">
        <v>9</v>
      </c>
      <c r="S410" t="s">
        <v>9</v>
      </c>
      <c r="T410" s="2">
        <v>42095</v>
      </c>
      <c r="U410">
        <v>5</v>
      </c>
      <c r="V410">
        <f t="shared" ca="1" si="6"/>
        <v>0.90664004778884921</v>
      </c>
    </row>
    <row r="411" spans="1:22">
      <c r="A411">
        <v>410</v>
      </c>
      <c r="B411" t="s">
        <v>1</v>
      </c>
      <c r="C411" t="s">
        <v>61</v>
      </c>
      <c r="D411" t="s">
        <v>50</v>
      </c>
      <c r="F411" t="s">
        <v>53</v>
      </c>
      <c r="G411" t="s">
        <v>52</v>
      </c>
      <c r="H411" t="s">
        <v>7</v>
      </c>
      <c r="I411" t="s">
        <v>7</v>
      </c>
      <c r="J411" s="1" t="s">
        <v>39</v>
      </c>
      <c r="K411" t="s">
        <v>39</v>
      </c>
      <c r="L411">
        <v>0</v>
      </c>
      <c r="M411" t="str">
        <f>IF(D411="Y","",IF(N411="Y",INDEX(#REF!,MATCH(C411,#REF!,0)),C411))</f>
        <v/>
      </c>
      <c r="N411" t="s">
        <v>52</v>
      </c>
      <c r="O411" t="s">
        <v>40</v>
      </c>
      <c r="P411">
        <v>27</v>
      </c>
      <c r="Q411" t="s">
        <v>9</v>
      </c>
      <c r="R411" t="s">
        <v>9</v>
      </c>
      <c r="S411" t="s">
        <v>9</v>
      </c>
      <c r="T411" s="2">
        <v>43922</v>
      </c>
      <c r="U411">
        <v>0</v>
      </c>
      <c r="V411">
        <f t="shared" ca="1" si="6"/>
        <v>0.74844517725380877</v>
      </c>
    </row>
    <row r="412" spans="1:22">
      <c r="A412">
        <v>411</v>
      </c>
      <c r="B412" t="s">
        <v>0</v>
      </c>
      <c r="C412" t="s">
        <v>57</v>
      </c>
      <c r="D412" t="s">
        <v>50</v>
      </c>
      <c r="F412" t="s">
        <v>53</v>
      </c>
      <c r="G412" t="s">
        <v>52</v>
      </c>
      <c r="H412" t="s">
        <v>5</v>
      </c>
      <c r="I412" t="s">
        <v>5</v>
      </c>
      <c r="J412" s="1" t="s">
        <v>39</v>
      </c>
      <c r="K412" t="s">
        <v>39</v>
      </c>
      <c r="L412">
        <v>0</v>
      </c>
      <c r="M412" t="str">
        <f>IF(D412="Y","",IF(N412="Y",INDEX(#REF!,MATCH(C412,#REF!,0)),C412))</f>
        <v/>
      </c>
      <c r="N412" t="s">
        <v>52</v>
      </c>
      <c r="O412" t="s">
        <v>42</v>
      </c>
      <c r="P412">
        <v>40</v>
      </c>
      <c r="Q412" t="s">
        <v>19</v>
      </c>
      <c r="R412" t="s">
        <v>45</v>
      </c>
      <c r="S412" t="s">
        <v>45</v>
      </c>
      <c r="T412" s="2">
        <v>43922</v>
      </c>
      <c r="U412">
        <v>0</v>
      </c>
      <c r="V412">
        <f t="shared" ca="1" si="6"/>
        <v>0.82152716919238944</v>
      </c>
    </row>
    <row r="413" spans="1:22">
      <c r="A413">
        <v>412</v>
      </c>
      <c r="B413" t="s">
        <v>0</v>
      </c>
      <c r="C413" t="s">
        <v>61</v>
      </c>
      <c r="D413" t="s">
        <v>52</v>
      </c>
      <c r="E413">
        <v>2</v>
      </c>
      <c r="F413" t="s">
        <v>53</v>
      </c>
      <c r="G413" t="s">
        <v>50</v>
      </c>
      <c r="H413" t="s">
        <v>5</v>
      </c>
      <c r="I413" t="s">
        <v>5</v>
      </c>
      <c r="J413" s="1" t="s">
        <v>39</v>
      </c>
      <c r="K413" t="s">
        <v>39</v>
      </c>
      <c r="L413">
        <v>2</v>
      </c>
      <c r="M413" t="str">
        <f>IF(D413="Y","",IF(N413="Y",INDEX(#REF!,MATCH(C413,#REF!,0)),C413))</f>
        <v>5 - Senior Officer</v>
      </c>
      <c r="N413" t="s">
        <v>52</v>
      </c>
      <c r="O413" t="s">
        <v>41</v>
      </c>
      <c r="P413">
        <v>31</v>
      </c>
      <c r="Q413" t="s">
        <v>20</v>
      </c>
      <c r="R413" t="s">
        <v>45</v>
      </c>
      <c r="S413" t="s">
        <v>45</v>
      </c>
      <c r="T413" s="2">
        <v>41365</v>
      </c>
      <c r="U413">
        <v>7</v>
      </c>
      <c r="V413">
        <f t="shared" ca="1" si="6"/>
        <v>0.59568663603694361</v>
      </c>
    </row>
    <row r="414" spans="1:22">
      <c r="A414">
        <v>413</v>
      </c>
      <c r="B414" t="s">
        <v>1</v>
      </c>
      <c r="C414" t="s">
        <v>59</v>
      </c>
      <c r="D414" t="s">
        <v>52</v>
      </c>
      <c r="E414">
        <v>3</v>
      </c>
      <c r="F414" t="s">
        <v>53</v>
      </c>
      <c r="G414" t="s">
        <v>50</v>
      </c>
      <c r="H414" t="s">
        <v>6</v>
      </c>
      <c r="I414" t="s">
        <v>6</v>
      </c>
      <c r="J414" s="1" t="s">
        <v>39</v>
      </c>
      <c r="K414" t="s">
        <v>39</v>
      </c>
      <c r="L414">
        <v>5</v>
      </c>
      <c r="M414" t="str">
        <f>IF(D414="Y","",IF(N414="Y",INDEX(#REF!,MATCH(C414,#REF!,0)),C414))</f>
        <v>2 - Director</v>
      </c>
      <c r="N414" t="s">
        <v>52</v>
      </c>
      <c r="O414" t="s">
        <v>42</v>
      </c>
      <c r="P414">
        <v>46</v>
      </c>
      <c r="Q414" t="s">
        <v>9</v>
      </c>
      <c r="R414" t="s">
        <v>9</v>
      </c>
      <c r="S414" t="s">
        <v>9</v>
      </c>
      <c r="T414" s="2">
        <v>41365</v>
      </c>
      <c r="U414">
        <v>7</v>
      </c>
      <c r="V414">
        <f t="shared" ca="1" si="6"/>
        <v>0.16361833261070879</v>
      </c>
    </row>
    <row r="415" spans="1:22">
      <c r="A415">
        <v>414</v>
      </c>
      <c r="B415" t="s">
        <v>0</v>
      </c>
      <c r="C415" t="s">
        <v>61</v>
      </c>
      <c r="D415" t="s">
        <v>52</v>
      </c>
      <c r="E415">
        <v>3</v>
      </c>
      <c r="F415" t="s">
        <v>53</v>
      </c>
      <c r="G415" t="s">
        <v>50</v>
      </c>
      <c r="H415" t="s">
        <v>5</v>
      </c>
      <c r="I415" t="s">
        <v>5</v>
      </c>
      <c r="J415" s="1">
        <v>0.8</v>
      </c>
      <c r="K415" t="s">
        <v>38</v>
      </c>
      <c r="L415">
        <v>1</v>
      </c>
      <c r="M415" t="e">
        <f>IF(D415="Y","",IF(N415="Y",INDEX(#REF!,MATCH(C415,#REF!,0)),C415))</f>
        <v>#REF!</v>
      </c>
      <c r="N415" t="s">
        <v>50</v>
      </c>
      <c r="O415" t="s">
        <v>41</v>
      </c>
      <c r="P415">
        <v>31</v>
      </c>
      <c r="Q415" t="s">
        <v>19</v>
      </c>
      <c r="R415" t="s">
        <v>45</v>
      </c>
      <c r="S415" t="s">
        <v>45</v>
      </c>
      <c r="T415" s="2">
        <v>42095</v>
      </c>
      <c r="U415">
        <v>5</v>
      </c>
      <c r="V415">
        <f t="shared" ca="1" si="6"/>
        <v>0.19903510672817959</v>
      </c>
    </row>
    <row r="416" spans="1:22">
      <c r="A416">
        <v>415</v>
      </c>
      <c r="B416" t="s">
        <v>1</v>
      </c>
      <c r="C416" t="s">
        <v>56</v>
      </c>
      <c r="D416" t="s">
        <v>52</v>
      </c>
      <c r="E416">
        <v>2</v>
      </c>
      <c r="F416" t="s">
        <v>53</v>
      </c>
      <c r="G416" t="s">
        <v>50</v>
      </c>
      <c r="H416" t="s">
        <v>7</v>
      </c>
      <c r="I416" t="s">
        <v>7</v>
      </c>
      <c r="J416" s="1" t="s">
        <v>39</v>
      </c>
      <c r="K416" t="s">
        <v>39</v>
      </c>
      <c r="L416">
        <v>1</v>
      </c>
      <c r="M416" t="str">
        <f>IF(D416="Y","",IF(N416="Y",INDEX(#REF!,MATCH(C416,#REF!,0)),C416))</f>
        <v>6 - Junior Officer</v>
      </c>
      <c r="N416" t="s">
        <v>52</v>
      </c>
      <c r="O416" t="s">
        <v>40</v>
      </c>
      <c r="P416">
        <v>24</v>
      </c>
      <c r="Q416" t="s">
        <v>15</v>
      </c>
      <c r="R416" t="s">
        <v>45</v>
      </c>
      <c r="S416" t="s">
        <v>45</v>
      </c>
      <c r="T416" s="2">
        <v>43556</v>
      </c>
      <c r="U416">
        <v>1</v>
      </c>
      <c r="V416">
        <f t="shared" ca="1" si="6"/>
        <v>0.50305280758463844</v>
      </c>
    </row>
    <row r="417" spans="1:22">
      <c r="A417">
        <v>416</v>
      </c>
      <c r="B417" t="s">
        <v>1</v>
      </c>
      <c r="C417" t="s">
        <v>58</v>
      </c>
      <c r="D417" t="s">
        <v>52</v>
      </c>
      <c r="E417">
        <v>2</v>
      </c>
      <c r="F417" t="s">
        <v>53</v>
      </c>
      <c r="G417" t="s">
        <v>50</v>
      </c>
      <c r="H417" t="s">
        <v>8</v>
      </c>
      <c r="I417" t="s">
        <v>8</v>
      </c>
      <c r="J417" s="1" t="s">
        <v>39</v>
      </c>
      <c r="K417" t="s">
        <v>39</v>
      </c>
      <c r="L417">
        <v>2</v>
      </c>
      <c r="M417" t="str">
        <f>IF(D417="Y","",IF(N417="Y",INDEX(#REF!,MATCH(C417,#REF!,0)),C417))</f>
        <v>3 - Senior Manager</v>
      </c>
      <c r="N417" t="s">
        <v>52</v>
      </c>
      <c r="O417" t="s">
        <v>41</v>
      </c>
      <c r="P417">
        <v>39</v>
      </c>
      <c r="Q417" t="s">
        <v>9</v>
      </c>
      <c r="R417" t="s">
        <v>9</v>
      </c>
      <c r="S417" t="s">
        <v>9</v>
      </c>
      <c r="T417" s="2">
        <v>41000</v>
      </c>
      <c r="U417">
        <v>8</v>
      </c>
      <c r="V417">
        <f t="shared" ca="1" si="6"/>
        <v>0.79113688926767478</v>
      </c>
    </row>
    <row r="418" spans="1:22">
      <c r="A418">
        <v>417</v>
      </c>
      <c r="B418" t="s">
        <v>1</v>
      </c>
      <c r="C418" t="s">
        <v>58</v>
      </c>
      <c r="D418" t="s">
        <v>52</v>
      </c>
      <c r="E418">
        <v>2</v>
      </c>
      <c r="F418" t="s">
        <v>53</v>
      </c>
      <c r="G418" t="s">
        <v>50</v>
      </c>
      <c r="H418" t="s">
        <v>5</v>
      </c>
      <c r="I418" t="s">
        <v>5</v>
      </c>
      <c r="J418" s="1" t="s">
        <v>39</v>
      </c>
      <c r="K418" t="s">
        <v>39</v>
      </c>
      <c r="L418">
        <v>2</v>
      </c>
      <c r="M418" t="str">
        <f>IF(D418="Y","",IF(N418="Y",INDEX(#REF!,MATCH(C418,#REF!,0)),C418))</f>
        <v>3 - Senior Manager</v>
      </c>
      <c r="N418" t="s">
        <v>52</v>
      </c>
      <c r="O418" t="s">
        <v>41</v>
      </c>
      <c r="P418">
        <v>36</v>
      </c>
      <c r="Q418" t="s">
        <v>9</v>
      </c>
      <c r="R418" t="s">
        <v>9</v>
      </c>
      <c r="S418" t="s">
        <v>9</v>
      </c>
      <c r="T418" s="2">
        <v>43191</v>
      </c>
      <c r="U418">
        <v>2</v>
      </c>
      <c r="V418">
        <f t="shared" ca="1" si="6"/>
        <v>0.87679482607739512</v>
      </c>
    </row>
    <row r="419" spans="1:22">
      <c r="A419">
        <v>418</v>
      </c>
      <c r="B419" t="s">
        <v>0</v>
      </c>
      <c r="C419" t="s">
        <v>56</v>
      </c>
      <c r="D419" t="s">
        <v>52</v>
      </c>
      <c r="E419">
        <v>2</v>
      </c>
      <c r="F419" t="s">
        <v>53</v>
      </c>
      <c r="G419" t="s">
        <v>50</v>
      </c>
      <c r="H419" t="s">
        <v>7</v>
      </c>
      <c r="I419" t="s">
        <v>7</v>
      </c>
      <c r="J419" s="1">
        <v>0.7</v>
      </c>
      <c r="K419" t="s">
        <v>38</v>
      </c>
      <c r="L419">
        <v>2</v>
      </c>
      <c r="M419" t="str">
        <f>IF(D419="Y","",IF(N419="Y",INDEX(#REF!,MATCH(C419,#REF!,0)),C419))</f>
        <v>6 - Junior Officer</v>
      </c>
      <c r="N419" t="s">
        <v>52</v>
      </c>
      <c r="O419" t="s">
        <v>41</v>
      </c>
      <c r="P419">
        <v>31</v>
      </c>
      <c r="Q419" t="s">
        <v>9</v>
      </c>
      <c r="R419" t="s">
        <v>9</v>
      </c>
      <c r="S419" t="s">
        <v>9</v>
      </c>
      <c r="T419" s="2">
        <v>43191</v>
      </c>
      <c r="U419">
        <v>2</v>
      </c>
      <c r="V419">
        <f t="shared" ca="1" si="6"/>
        <v>0.99836362889998065</v>
      </c>
    </row>
    <row r="420" spans="1:22">
      <c r="A420">
        <v>419</v>
      </c>
      <c r="B420" t="s">
        <v>1</v>
      </c>
      <c r="C420" t="s">
        <v>56</v>
      </c>
      <c r="D420" t="s">
        <v>52</v>
      </c>
      <c r="E420">
        <v>3</v>
      </c>
      <c r="F420" t="s">
        <v>53</v>
      </c>
      <c r="G420" t="s">
        <v>50</v>
      </c>
      <c r="H420" t="s">
        <v>7</v>
      </c>
      <c r="I420" t="s">
        <v>7</v>
      </c>
      <c r="J420" s="1" t="s">
        <v>39</v>
      </c>
      <c r="K420" t="s">
        <v>39</v>
      </c>
      <c r="L420">
        <v>3</v>
      </c>
      <c r="M420" t="str">
        <f>IF(D420="Y","",IF(N420="Y",INDEX(#REF!,MATCH(C420,#REF!,0)),C420))</f>
        <v>6 - Junior Officer</v>
      </c>
      <c r="N420" t="s">
        <v>52</v>
      </c>
      <c r="O420" t="s">
        <v>40</v>
      </c>
      <c r="P420">
        <v>21</v>
      </c>
      <c r="Q420" t="s">
        <v>9</v>
      </c>
      <c r="R420" t="s">
        <v>9</v>
      </c>
      <c r="S420" t="s">
        <v>9</v>
      </c>
      <c r="T420" s="2">
        <v>42826</v>
      </c>
      <c r="U420">
        <v>3</v>
      </c>
      <c r="V420">
        <f t="shared" ca="1" si="6"/>
        <v>0.55842494159006217</v>
      </c>
    </row>
    <row r="421" spans="1:22">
      <c r="A421">
        <v>420</v>
      </c>
      <c r="B421" t="s">
        <v>0</v>
      </c>
      <c r="C421" t="s">
        <v>61</v>
      </c>
      <c r="D421" t="s">
        <v>52</v>
      </c>
      <c r="E421">
        <v>3</v>
      </c>
      <c r="F421" t="s">
        <v>53</v>
      </c>
      <c r="G421" t="s">
        <v>50</v>
      </c>
      <c r="H421" t="s">
        <v>5</v>
      </c>
      <c r="I421" t="s">
        <v>5</v>
      </c>
      <c r="J421" s="1">
        <v>0.5</v>
      </c>
      <c r="K421" t="s">
        <v>38</v>
      </c>
      <c r="L421">
        <v>2</v>
      </c>
      <c r="M421" t="str">
        <f>IF(D421="Y","",IF(N421="Y",INDEX(#REF!,MATCH(C421,#REF!,0)),C421))</f>
        <v>5 - Senior Officer</v>
      </c>
      <c r="N421" t="s">
        <v>52</v>
      </c>
      <c r="O421" t="s">
        <v>41</v>
      </c>
      <c r="P421">
        <v>33</v>
      </c>
      <c r="Q421" t="s">
        <v>19</v>
      </c>
      <c r="R421" t="s">
        <v>45</v>
      </c>
      <c r="S421" t="s">
        <v>45</v>
      </c>
      <c r="T421" s="2">
        <v>41730</v>
      </c>
      <c r="U421">
        <v>6</v>
      </c>
      <c r="V421">
        <f t="shared" ca="1" si="6"/>
        <v>0.35046394638504008</v>
      </c>
    </row>
    <row r="422" spans="1:22">
      <c r="A422">
        <v>421</v>
      </c>
      <c r="B422" t="s">
        <v>1</v>
      </c>
      <c r="C422" t="s">
        <v>59</v>
      </c>
      <c r="D422" t="s">
        <v>52</v>
      </c>
      <c r="E422">
        <v>3</v>
      </c>
      <c r="F422" t="s">
        <v>53</v>
      </c>
      <c r="G422" t="s">
        <v>50</v>
      </c>
      <c r="H422" t="s">
        <v>8</v>
      </c>
      <c r="I422" t="s">
        <v>8</v>
      </c>
      <c r="J422" s="1" t="s">
        <v>39</v>
      </c>
      <c r="K422" t="s">
        <v>39</v>
      </c>
      <c r="L422">
        <v>3</v>
      </c>
      <c r="M422" t="str">
        <f>IF(D422="Y","",IF(N422="Y",INDEX(#REF!,MATCH(C422,#REF!,0)),C422))</f>
        <v>2 - Director</v>
      </c>
      <c r="N422" t="s">
        <v>52</v>
      </c>
      <c r="O422" t="s">
        <v>42</v>
      </c>
      <c r="P422">
        <v>48</v>
      </c>
      <c r="Q422" t="s">
        <v>20</v>
      </c>
      <c r="R422" t="s">
        <v>45</v>
      </c>
      <c r="S422" t="s">
        <v>45</v>
      </c>
      <c r="T422" s="2">
        <v>42095</v>
      </c>
      <c r="U422">
        <v>5</v>
      </c>
      <c r="V422">
        <f t="shared" ca="1" si="6"/>
        <v>0.18524391190461709</v>
      </c>
    </row>
    <row r="423" spans="1:22">
      <c r="A423">
        <v>422</v>
      </c>
      <c r="B423" t="s">
        <v>0</v>
      </c>
      <c r="C423" t="s">
        <v>56</v>
      </c>
      <c r="D423" t="s">
        <v>52</v>
      </c>
      <c r="E423">
        <v>2</v>
      </c>
      <c r="F423" t="s">
        <v>53</v>
      </c>
      <c r="G423" t="s">
        <v>50</v>
      </c>
      <c r="H423" t="s">
        <v>5</v>
      </c>
      <c r="I423" t="s">
        <v>5</v>
      </c>
      <c r="J423" s="1" t="s">
        <v>39</v>
      </c>
      <c r="K423" t="s">
        <v>39</v>
      </c>
      <c r="L423">
        <v>2</v>
      </c>
      <c r="M423" t="str">
        <f>IF(D423="Y","",IF(N423="Y",INDEX(#REF!,MATCH(C423,#REF!,0)),C423))</f>
        <v>6 - Junior Officer</v>
      </c>
      <c r="N423" t="s">
        <v>52</v>
      </c>
      <c r="O423" t="s">
        <v>40</v>
      </c>
      <c r="P423">
        <v>24</v>
      </c>
      <c r="Q423" t="s">
        <v>9</v>
      </c>
      <c r="R423" t="s">
        <v>9</v>
      </c>
      <c r="S423" t="s">
        <v>9</v>
      </c>
      <c r="T423" s="2">
        <v>43191</v>
      </c>
      <c r="U423">
        <v>2</v>
      </c>
      <c r="V423">
        <f t="shared" ca="1" si="6"/>
        <v>0.39624861483453377</v>
      </c>
    </row>
    <row r="424" spans="1:22">
      <c r="A424">
        <v>423</v>
      </c>
      <c r="B424" t="s">
        <v>1</v>
      </c>
      <c r="C424" t="s">
        <v>56</v>
      </c>
      <c r="D424" t="s">
        <v>52</v>
      </c>
      <c r="E424">
        <v>3</v>
      </c>
      <c r="F424" t="s">
        <v>53</v>
      </c>
      <c r="G424" t="s">
        <v>50</v>
      </c>
      <c r="H424" t="s">
        <v>5</v>
      </c>
      <c r="I424" t="s">
        <v>5</v>
      </c>
      <c r="J424" s="1" t="s">
        <v>39</v>
      </c>
      <c r="K424" t="s">
        <v>39</v>
      </c>
      <c r="L424">
        <v>3</v>
      </c>
      <c r="M424" t="str">
        <f>IF(D424="Y","",IF(N424="Y",INDEX(#REF!,MATCH(C424,#REF!,0)),C424))</f>
        <v>6 - Junior Officer</v>
      </c>
      <c r="N424" t="s">
        <v>52</v>
      </c>
      <c r="O424" t="s">
        <v>40</v>
      </c>
      <c r="P424">
        <v>24</v>
      </c>
      <c r="Q424" t="s">
        <v>19</v>
      </c>
      <c r="R424" t="s">
        <v>45</v>
      </c>
      <c r="S424" t="s">
        <v>45</v>
      </c>
      <c r="T424" s="2">
        <v>42826</v>
      </c>
      <c r="U424">
        <v>3</v>
      </c>
      <c r="V424">
        <f t="shared" ca="1" si="6"/>
        <v>0.53762442455617954</v>
      </c>
    </row>
    <row r="425" spans="1:22">
      <c r="A425">
        <v>424</v>
      </c>
      <c r="B425" t="s">
        <v>0</v>
      </c>
      <c r="C425" t="s">
        <v>56</v>
      </c>
      <c r="D425" t="s">
        <v>50</v>
      </c>
      <c r="F425" t="s">
        <v>53</v>
      </c>
      <c r="G425" t="s">
        <v>52</v>
      </c>
      <c r="H425" t="s">
        <v>5</v>
      </c>
      <c r="I425" t="s">
        <v>5</v>
      </c>
      <c r="J425" s="1" t="s">
        <v>39</v>
      </c>
      <c r="K425" t="s">
        <v>39</v>
      </c>
      <c r="L425">
        <v>0</v>
      </c>
      <c r="M425" t="str">
        <f>IF(D425="Y","",IF(N425="Y",INDEX(#REF!,MATCH(C425,#REF!,0)),C425))</f>
        <v/>
      </c>
      <c r="N425" t="s">
        <v>52</v>
      </c>
      <c r="O425" t="s">
        <v>40</v>
      </c>
      <c r="P425">
        <v>22</v>
      </c>
      <c r="Q425" t="s">
        <v>9</v>
      </c>
      <c r="R425" t="s">
        <v>9</v>
      </c>
      <c r="S425" t="s">
        <v>9</v>
      </c>
      <c r="T425" s="2">
        <v>43922</v>
      </c>
      <c r="U425">
        <v>0</v>
      </c>
      <c r="V425">
        <f t="shared" ca="1" si="6"/>
        <v>0.33703796958111099</v>
      </c>
    </row>
    <row r="426" spans="1:22">
      <c r="A426">
        <v>425</v>
      </c>
      <c r="B426" t="s">
        <v>1</v>
      </c>
      <c r="C426" t="s">
        <v>60</v>
      </c>
      <c r="D426" t="s">
        <v>52</v>
      </c>
      <c r="F426" t="s">
        <v>53</v>
      </c>
      <c r="G426" t="s">
        <v>50</v>
      </c>
      <c r="H426" t="s">
        <v>8</v>
      </c>
      <c r="I426" t="s">
        <v>8</v>
      </c>
      <c r="J426" s="1" t="s">
        <v>39</v>
      </c>
      <c r="K426" t="s">
        <v>39</v>
      </c>
      <c r="L426">
        <v>1</v>
      </c>
      <c r="M426" t="e">
        <f>IF(D426="Y","",IF(N426="Y",INDEX(#REF!,MATCH(C426,#REF!,0)),C426))</f>
        <v>#REF!</v>
      </c>
      <c r="N426" t="s">
        <v>50</v>
      </c>
      <c r="O426" t="s">
        <v>42</v>
      </c>
      <c r="P426">
        <v>42</v>
      </c>
      <c r="Q426" t="s">
        <v>19</v>
      </c>
      <c r="R426" t="s">
        <v>45</v>
      </c>
      <c r="S426" t="s">
        <v>45</v>
      </c>
      <c r="T426" s="2">
        <v>42095</v>
      </c>
      <c r="U426">
        <v>5</v>
      </c>
      <c r="V426">
        <f t="shared" ca="1" si="6"/>
        <v>0.56043416475289032</v>
      </c>
    </row>
    <row r="427" spans="1:22">
      <c r="A427">
        <v>426</v>
      </c>
      <c r="B427" t="s">
        <v>0</v>
      </c>
      <c r="C427" t="s">
        <v>56</v>
      </c>
      <c r="D427" t="s">
        <v>52</v>
      </c>
      <c r="E427">
        <v>2</v>
      </c>
      <c r="F427" t="s">
        <v>53</v>
      </c>
      <c r="G427" t="s">
        <v>50</v>
      </c>
      <c r="H427" t="s">
        <v>7</v>
      </c>
      <c r="I427" t="s">
        <v>7</v>
      </c>
      <c r="J427" s="1" t="s">
        <v>39</v>
      </c>
      <c r="K427" t="s">
        <v>39</v>
      </c>
      <c r="L427">
        <v>2</v>
      </c>
      <c r="M427" t="str">
        <f>IF(D427="Y","",IF(N427="Y",INDEX(#REF!,MATCH(C427,#REF!,0)),C427))</f>
        <v>6 - Junior Officer</v>
      </c>
      <c r="N427" t="s">
        <v>52</v>
      </c>
      <c r="O427" t="s">
        <v>40</v>
      </c>
      <c r="P427">
        <v>25</v>
      </c>
      <c r="Q427" t="s">
        <v>15</v>
      </c>
      <c r="R427" t="s">
        <v>45</v>
      </c>
      <c r="S427" t="s">
        <v>45</v>
      </c>
      <c r="T427" s="2">
        <v>43191</v>
      </c>
      <c r="U427">
        <v>2</v>
      </c>
      <c r="V427">
        <f t="shared" ca="1" si="6"/>
        <v>0.58825781090237594</v>
      </c>
    </row>
    <row r="428" spans="1:22">
      <c r="A428">
        <v>427</v>
      </c>
      <c r="B428" t="s">
        <v>1</v>
      </c>
      <c r="C428" t="s">
        <v>60</v>
      </c>
      <c r="D428" t="s">
        <v>50</v>
      </c>
      <c r="F428" t="s">
        <v>53</v>
      </c>
      <c r="G428" t="s">
        <v>52</v>
      </c>
      <c r="H428" t="s">
        <v>8</v>
      </c>
      <c r="I428" t="s">
        <v>8</v>
      </c>
      <c r="J428" s="1" t="s">
        <v>39</v>
      </c>
      <c r="K428" t="s">
        <v>39</v>
      </c>
      <c r="L428">
        <v>0</v>
      </c>
      <c r="M428" t="str">
        <f>IF(D428="Y","",IF(N428="Y",INDEX(#REF!,MATCH(C428,#REF!,0)),C428))</f>
        <v/>
      </c>
      <c r="N428" t="s">
        <v>52</v>
      </c>
      <c r="O428" t="s">
        <v>44</v>
      </c>
      <c r="P428">
        <v>60</v>
      </c>
      <c r="Q428" t="s">
        <v>20</v>
      </c>
      <c r="R428" t="s">
        <v>45</v>
      </c>
      <c r="S428" t="s">
        <v>45</v>
      </c>
      <c r="T428" s="2">
        <v>43922</v>
      </c>
      <c r="U428">
        <v>0</v>
      </c>
      <c r="V428">
        <f t="shared" ca="1" si="6"/>
        <v>0.81849924562116194</v>
      </c>
    </row>
    <row r="429" spans="1:22">
      <c r="A429">
        <v>428</v>
      </c>
      <c r="B429" t="s">
        <v>0</v>
      </c>
      <c r="C429" s="3" t="s">
        <v>61</v>
      </c>
      <c r="D429" t="s">
        <v>52</v>
      </c>
      <c r="E429">
        <v>3</v>
      </c>
      <c r="F429" t="s">
        <v>51</v>
      </c>
      <c r="G429" t="s">
        <v>50</v>
      </c>
      <c r="H429" t="s">
        <v>3</v>
      </c>
      <c r="I429" t="s">
        <v>3</v>
      </c>
      <c r="J429" s="1" t="s">
        <v>39</v>
      </c>
      <c r="K429" t="s">
        <v>39</v>
      </c>
      <c r="L429">
        <v>4</v>
      </c>
      <c r="M429" t="str">
        <f>IF(D429="Y","",IF(N429="Y",INDEX(#REF!,MATCH(C429,#REF!,0)),C429))</f>
        <v>5 - Senior Officer</v>
      </c>
      <c r="N429" t="s">
        <v>52</v>
      </c>
      <c r="O429" t="s">
        <v>41</v>
      </c>
      <c r="P429">
        <v>35</v>
      </c>
      <c r="Q429" t="s">
        <v>9</v>
      </c>
      <c r="R429" t="s">
        <v>9</v>
      </c>
      <c r="S429" t="s">
        <v>9</v>
      </c>
      <c r="T429" s="2">
        <v>41000</v>
      </c>
      <c r="U429">
        <v>8</v>
      </c>
      <c r="V429">
        <f t="shared" ca="1" si="6"/>
        <v>0.51985765099371961</v>
      </c>
    </row>
    <row r="430" spans="1:22">
      <c r="A430">
        <v>429</v>
      </c>
      <c r="B430" t="s">
        <v>1</v>
      </c>
      <c r="C430" t="s">
        <v>58</v>
      </c>
      <c r="D430" t="s">
        <v>52</v>
      </c>
      <c r="E430">
        <v>2</v>
      </c>
      <c r="F430" t="s">
        <v>53</v>
      </c>
      <c r="G430" t="s">
        <v>50</v>
      </c>
      <c r="H430" t="s">
        <v>5</v>
      </c>
      <c r="I430" t="s">
        <v>5</v>
      </c>
      <c r="J430" s="1" t="s">
        <v>39</v>
      </c>
      <c r="K430" t="s">
        <v>39</v>
      </c>
      <c r="L430">
        <v>1</v>
      </c>
      <c r="M430" t="e">
        <f>IF(D430="Y","",IF(N430="Y",INDEX(#REF!,MATCH(C430,#REF!,0)),C430))</f>
        <v>#REF!</v>
      </c>
      <c r="N430" t="s">
        <v>50</v>
      </c>
      <c r="O430" t="s">
        <v>41</v>
      </c>
      <c r="P430">
        <v>37</v>
      </c>
      <c r="Q430" t="s">
        <v>25</v>
      </c>
      <c r="R430" t="s">
        <v>45</v>
      </c>
      <c r="S430" t="s">
        <v>45</v>
      </c>
      <c r="T430" s="2">
        <v>41365</v>
      </c>
      <c r="U430">
        <v>7</v>
      </c>
      <c r="V430">
        <f t="shared" ca="1" si="6"/>
        <v>0.79673420830702268</v>
      </c>
    </row>
    <row r="431" spans="1:22">
      <c r="A431">
        <v>430</v>
      </c>
      <c r="B431" t="s">
        <v>1</v>
      </c>
      <c r="C431" t="s">
        <v>61</v>
      </c>
      <c r="D431" t="s">
        <v>52</v>
      </c>
      <c r="E431">
        <v>4</v>
      </c>
      <c r="F431" t="s">
        <v>53</v>
      </c>
      <c r="G431" t="s">
        <v>50</v>
      </c>
      <c r="H431" t="s">
        <v>7</v>
      </c>
      <c r="I431" t="s">
        <v>7</v>
      </c>
      <c r="J431" s="1" t="s">
        <v>39</v>
      </c>
      <c r="K431" t="s">
        <v>39</v>
      </c>
      <c r="L431">
        <v>3</v>
      </c>
      <c r="M431" t="str">
        <f>IF(D431="Y","",IF(N431="Y",INDEX(#REF!,MATCH(C431,#REF!,0)),C431))</f>
        <v>5 - Senior Officer</v>
      </c>
      <c r="N431" t="s">
        <v>52</v>
      </c>
      <c r="O431" t="s">
        <v>40</v>
      </c>
      <c r="P431">
        <v>27</v>
      </c>
      <c r="Q431" t="s">
        <v>9</v>
      </c>
      <c r="R431" t="s">
        <v>9</v>
      </c>
      <c r="S431" t="s">
        <v>9</v>
      </c>
      <c r="T431" s="2">
        <v>42461</v>
      </c>
      <c r="U431">
        <v>4</v>
      </c>
      <c r="V431">
        <f t="shared" ca="1" si="6"/>
        <v>0.73686553360120177</v>
      </c>
    </row>
    <row r="432" spans="1:22">
      <c r="A432">
        <v>431</v>
      </c>
      <c r="B432" t="s">
        <v>1</v>
      </c>
      <c r="C432" t="s">
        <v>57</v>
      </c>
      <c r="D432" t="s">
        <v>52</v>
      </c>
      <c r="E432">
        <v>4</v>
      </c>
      <c r="F432" t="s">
        <v>53</v>
      </c>
      <c r="G432" t="s">
        <v>50</v>
      </c>
      <c r="H432" t="s">
        <v>5</v>
      </c>
      <c r="I432" t="s">
        <v>5</v>
      </c>
      <c r="J432" s="1" t="s">
        <v>39</v>
      </c>
      <c r="K432" t="s">
        <v>39</v>
      </c>
      <c r="L432">
        <v>2</v>
      </c>
      <c r="M432" t="str">
        <f>IF(D432="Y","",IF(N432="Y",INDEX(#REF!,MATCH(C432,#REF!,0)),C432))</f>
        <v>4 - Manager</v>
      </c>
      <c r="N432" t="s">
        <v>52</v>
      </c>
      <c r="O432" t="s">
        <v>41</v>
      </c>
      <c r="P432">
        <v>33</v>
      </c>
      <c r="Q432" t="s">
        <v>9</v>
      </c>
      <c r="R432" t="s">
        <v>9</v>
      </c>
      <c r="S432" t="s">
        <v>9</v>
      </c>
      <c r="T432" s="2">
        <v>43191</v>
      </c>
      <c r="U432">
        <v>2</v>
      </c>
      <c r="V432">
        <f t="shared" ca="1" si="6"/>
        <v>0.43769103922672392</v>
      </c>
    </row>
    <row r="433" spans="1:22">
      <c r="A433">
        <v>432</v>
      </c>
      <c r="B433" t="s">
        <v>0</v>
      </c>
      <c r="C433" t="s">
        <v>56</v>
      </c>
      <c r="D433" t="s">
        <v>52</v>
      </c>
      <c r="E433">
        <v>2</v>
      </c>
      <c r="F433" t="s">
        <v>53</v>
      </c>
      <c r="G433" t="s">
        <v>50</v>
      </c>
      <c r="H433" t="s">
        <v>5</v>
      </c>
      <c r="I433" t="s">
        <v>5</v>
      </c>
      <c r="J433" s="1" t="s">
        <v>39</v>
      </c>
      <c r="K433" t="s">
        <v>39</v>
      </c>
      <c r="L433">
        <v>2</v>
      </c>
      <c r="M433" t="str">
        <f>IF(D433="Y","",IF(N433="Y",INDEX(#REF!,MATCH(C433,#REF!,0)),C433))</f>
        <v>6 - Junior Officer</v>
      </c>
      <c r="N433" t="s">
        <v>52</v>
      </c>
      <c r="O433" t="s">
        <v>40</v>
      </c>
      <c r="P433">
        <v>23</v>
      </c>
      <c r="Q433" t="s">
        <v>20</v>
      </c>
      <c r="R433" t="s">
        <v>45</v>
      </c>
      <c r="S433" t="s">
        <v>45</v>
      </c>
      <c r="T433" s="2">
        <v>43191</v>
      </c>
      <c r="U433">
        <v>2</v>
      </c>
      <c r="V433">
        <f t="shared" ca="1" si="6"/>
        <v>0.86562248033503397</v>
      </c>
    </row>
    <row r="434" spans="1:22">
      <c r="A434">
        <v>433</v>
      </c>
      <c r="B434" t="s">
        <v>1</v>
      </c>
      <c r="C434" t="s">
        <v>59</v>
      </c>
      <c r="D434" t="s">
        <v>52</v>
      </c>
      <c r="E434">
        <v>3</v>
      </c>
      <c r="F434" t="s">
        <v>53</v>
      </c>
      <c r="G434" t="s">
        <v>50</v>
      </c>
      <c r="H434" t="s">
        <v>5</v>
      </c>
      <c r="I434" t="s">
        <v>5</v>
      </c>
      <c r="J434" s="1" t="s">
        <v>39</v>
      </c>
      <c r="K434" t="s">
        <v>39</v>
      </c>
      <c r="L434">
        <v>3</v>
      </c>
      <c r="M434" t="str">
        <f>IF(D434="Y","",IF(N434="Y",INDEX(#REF!,MATCH(C434,#REF!,0)),C434))</f>
        <v>2 - Director</v>
      </c>
      <c r="N434" t="s">
        <v>52</v>
      </c>
      <c r="O434" t="s">
        <v>41</v>
      </c>
      <c r="P434">
        <v>37</v>
      </c>
      <c r="Q434" t="s">
        <v>9</v>
      </c>
      <c r="R434" t="s">
        <v>9</v>
      </c>
      <c r="S434" t="s">
        <v>9</v>
      </c>
      <c r="T434" s="2">
        <v>42826</v>
      </c>
      <c r="U434">
        <v>3</v>
      </c>
      <c r="V434">
        <f t="shared" ca="1" si="6"/>
        <v>0.58193630391370665</v>
      </c>
    </row>
    <row r="435" spans="1:22">
      <c r="A435">
        <v>434</v>
      </c>
      <c r="B435" t="s">
        <v>0</v>
      </c>
      <c r="C435" t="s">
        <v>57</v>
      </c>
      <c r="D435" t="s">
        <v>50</v>
      </c>
      <c r="F435" t="s">
        <v>53</v>
      </c>
      <c r="G435" t="s">
        <v>52</v>
      </c>
      <c r="H435" t="s">
        <v>6</v>
      </c>
      <c r="I435" t="s">
        <v>6</v>
      </c>
      <c r="J435" s="1" t="s">
        <v>39</v>
      </c>
      <c r="K435" t="s">
        <v>39</v>
      </c>
      <c r="L435">
        <v>0</v>
      </c>
      <c r="M435" t="str">
        <f>IF(D435="Y","",IF(N435="Y",INDEX(#REF!,MATCH(C435,#REF!,0)),C435))</f>
        <v/>
      </c>
      <c r="N435" t="s">
        <v>52</v>
      </c>
      <c r="O435" t="s">
        <v>41</v>
      </c>
      <c r="P435">
        <v>38</v>
      </c>
      <c r="Q435" t="s">
        <v>19</v>
      </c>
      <c r="R435" t="s">
        <v>45</v>
      </c>
      <c r="S435" t="s">
        <v>45</v>
      </c>
      <c r="T435" s="2">
        <v>43922</v>
      </c>
      <c r="U435">
        <v>0</v>
      </c>
      <c r="V435">
        <f t="shared" ca="1" si="6"/>
        <v>0.58384482417175787</v>
      </c>
    </row>
    <row r="436" spans="1:22">
      <c r="A436">
        <v>435</v>
      </c>
      <c r="B436" t="s">
        <v>0</v>
      </c>
      <c r="C436" t="s">
        <v>57</v>
      </c>
      <c r="D436" t="s">
        <v>52</v>
      </c>
      <c r="E436">
        <v>1</v>
      </c>
      <c r="F436" t="s">
        <v>53</v>
      </c>
      <c r="G436" t="s">
        <v>50</v>
      </c>
      <c r="H436" t="s">
        <v>4</v>
      </c>
      <c r="I436" t="s">
        <v>4</v>
      </c>
      <c r="J436" s="1" t="s">
        <v>39</v>
      </c>
      <c r="K436" t="s">
        <v>39</v>
      </c>
      <c r="L436">
        <v>5</v>
      </c>
      <c r="M436" t="str">
        <f>IF(D436="Y","",IF(N436="Y",INDEX(#REF!,MATCH(C436,#REF!,0)),C436))</f>
        <v>4 - Manager</v>
      </c>
      <c r="N436" t="s">
        <v>52</v>
      </c>
      <c r="O436" t="s">
        <v>41</v>
      </c>
      <c r="P436">
        <v>39</v>
      </c>
      <c r="Q436" t="s">
        <v>9</v>
      </c>
      <c r="R436" t="s">
        <v>9</v>
      </c>
      <c r="S436" t="s">
        <v>9</v>
      </c>
      <c r="T436" s="2">
        <v>40634</v>
      </c>
      <c r="U436">
        <v>9</v>
      </c>
      <c r="V436">
        <f t="shared" ca="1" si="6"/>
        <v>0.69540727966013838</v>
      </c>
    </row>
    <row r="437" spans="1:22">
      <c r="A437">
        <v>436</v>
      </c>
      <c r="B437" t="s">
        <v>0</v>
      </c>
      <c r="C437" t="s">
        <v>56</v>
      </c>
      <c r="D437" t="s">
        <v>52</v>
      </c>
      <c r="E437">
        <v>3</v>
      </c>
      <c r="F437" t="s">
        <v>53</v>
      </c>
      <c r="G437" t="s">
        <v>50</v>
      </c>
      <c r="H437" t="s">
        <v>5</v>
      </c>
      <c r="I437" t="s">
        <v>5</v>
      </c>
      <c r="J437" s="1" t="s">
        <v>39</v>
      </c>
      <c r="K437" t="s">
        <v>39</v>
      </c>
      <c r="L437">
        <v>4</v>
      </c>
      <c r="M437" t="str">
        <f>IF(D437="Y","",IF(N437="Y",INDEX(#REF!,MATCH(C437,#REF!,0)),C437))</f>
        <v>6 - Junior Officer</v>
      </c>
      <c r="N437" t="s">
        <v>52</v>
      </c>
      <c r="O437" t="s">
        <v>40</v>
      </c>
      <c r="P437">
        <v>22</v>
      </c>
      <c r="Q437" t="s">
        <v>20</v>
      </c>
      <c r="R437" t="s">
        <v>45</v>
      </c>
      <c r="S437" t="s">
        <v>45</v>
      </c>
      <c r="T437" s="2">
        <v>42461</v>
      </c>
      <c r="U437">
        <v>4</v>
      </c>
      <c r="V437">
        <f t="shared" ca="1" si="6"/>
        <v>0.84206314555969897</v>
      </c>
    </row>
    <row r="438" spans="1:22">
      <c r="A438">
        <v>437</v>
      </c>
      <c r="B438" t="s">
        <v>1</v>
      </c>
      <c r="C438" t="s">
        <v>57</v>
      </c>
      <c r="D438" t="s">
        <v>52</v>
      </c>
      <c r="E438">
        <v>2</v>
      </c>
      <c r="F438" t="s">
        <v>53</v>
      </c>
      <c r="G438" t="s">
        <v>50</v>
      </c>
      <c r="H438" t="s">
        <v>6</v>
      </c>
      <c r="I438" t="s">
        <v>6</v>
      </c>
      <c r="J438" s="1" t="s">
        <v>39</v>
      </c>
      <c r="K438" t="s">
        <v>39</v>
      </c>
      <c r="L438">
        <v>3</v>
      </c>
      <c r="M438" t="str">
        <f>IF(D438="Y","",IF(N438="Y",INDEX(#REF!,MATCH(C438,#REF!,0)),C438))</f>
        <v>4 - Manager</v>
      </c>
      <c r="N438" t="s">
        <v>52</v>
      </c>
      <c r="O438" t="s">
        <v>41</v>
      </c>
      <c r="P438">
        <v>34</v>
      </c>
      <c r="Q438" t="s">
        <v>20</v>
      </c>
      <c r="R438" t="s">
        <v>45</v>
      </c>
      <c r="S438" t="s">
        <v>45</v>
      </c>
      <c r="T438" s="2">
        <v>42095</v>
      </c>
      <c r="U438">
        <v>5</v>
      </c>
      <c r="V438">
        <f t="shared" ca="1" si="6"/>
        <v>0.56889356204136876</v>
      </c>
    </row>
    <row r="439" spans="1:22">
      <c r="A439">
        <v>438</v>
      </c>
      <c r="B439" t="s">
        <v>1</v>
      </c>
      <c r="C439" t="s">
        <v>59</v>
      </c>
      <c r="D439" t="s">
        <v>52</v>
      </c>
      <c r="E439">
        <v>3</v>
      </c>
      <c r="F439" t="s">
        <v>53</v>
      </c>
      <c r="G439" t="s">
        <v>50</v>
      </c>
      <c r="H439" t="s">
        <v>5</v>
      </c>
      <c r="I439" t="s">
        <v>5</v>
      </c>
      <c r="J439" s="1" t="s">
        <v>39</v>
      </c>
      <c r="K439" t="s">
        <v>39</v>
      </c>
      <c r="L439">
        <v>4</v>
      </c>
      <c r="M439" t="str">
        <f>IF(D439="Y","",IF(N439="Y",INDEX(#REF!,MATCH(C439,#REF!,0)),C439))</f>
        <v>2 - Director</v>
      </c>
      <c r="N439" t="s">
        <v>52</v>
      </c>
      <c r="O439" t="s">
        <v>41</v>
      </c>
      <c r="P439">
        <v>36</v>
      </c>
      <c r="Q439" t="s">
        <v>20</v>
      </c>
      <c r="R439" t="s">
        <v>45</v>
      </c>
      <c r="S439" t="s">
        <v>45</v>
      </c>
      <c r="T439" s="2">
        <v>40634</v>
      </c>
      <c r="U439">
        <v>9</v>
      </c>
      <c r="V439">
        <f t="shared" ca="1" si="6"/>
        <v>0.57060368515919446</v>
      </c>
    </row>
    <row r="440" spans="1:22">
      <c r="A440">
        <v>439</v>
      </c>
      <c r="B440" t="s">
        <v>0</v>
      </c>
      <c r="C440" s="3" t="s">
        <v>56</v>
      </c>
      <c r="D440" t="s">
        <v>52</v>
      </c>
      <c r="E440">
        <v>2</v>
      </c>
      <c r="F440" t="s">
        <v>51</v>
      </c>
      <c r="G440" t="s">
        <v>50</v>
      </c>
      <c r="H440" t="s">
        <v>6</v>
      </c>
      <c r="I440" t="s">
        <v>6</v>
      </c>
      <c r="J440" s="1" t="s">
        <v>39</v>
      </c>
      <c r="K440" t="s">
        <v>39</v>
      </c>
      <c r="L440">
        <v>3</v>
      </c>
      <c r="M440" t="str">
        <f>IF(D440="Y","",IF(N440="Y",INDEX(#REF!,MATCH(C440,#REF!,0)),C440))</f>
        <v>6 - Junior Officer</v>
      </c>
      <c r="N440" t="s">
        <v>52</v>
      </c>
      <c r="O440" t="s">
        <v>41</v>
      </c>
      <c r="P440">
        <v>30</v>
      </c>
      <c r="Q440" t="s">
        <v>9</v>
      </c>
      <c r="R440" t="s">
        <v>9</v>
      </c>
      <c r="S440" t="s">
        <v>9</v>
      </c>
      <c r="T440" s="2">
        <v>42826</v>
      </c>
      <c r="U440">
        <v>3</v>
      </c>
      <c r="V440">
        <f t="shared" ca="1" si="6"/>
        <v>0.38062297225225106</v>
      </c>
    </row>
    <row r="441" spans="1:22">
      <c r="A441">
        <v>440</v>
      </c>
      <c r="B441" t="s">
        <v>1</v>
      </c>
      <c r="C441" t="s">
        <v>57</v>
      </c>
      <c r="D441" t="s">
        <v>52</v>
      </c>
      <c r="E441">
        <v>2</v>
      </c>
      <c r="F441" t="s">
        <v>53</v>
      </c>
      <c r="G441" t="s">
        <v>50</v>
      </c>
      <c r="H441" t="s">
        <v>6</v>
      </c>
      <c r="I441" t="s">
        <v>6</v>
      </c>
      <c r="J441" s="1" t="s">
        <v>39</v>
      </c>
      <c r="K441" t="s">
        <v>39</v>
      </c>
      <c r="L441">
        <v>1</v>
      </c>
      <c r="M441" t="e">
        <f>IF(D441="Y","",IF(N441="Y",INDEX(#REF!,MATCH(C441,#REF!,0)),C441))</f>
        <v>#REF!</v>
      </c>
      <c r="N441" t="s">
        <v>50</v>
      </c>
      <c r="O441" t="s">
        <v>42</v>
      </c>
      <c r="P441">
        <v>42</v>
      </c>
      <c r="Q441" t="s">
        <v>15</v>
      </c>
      <c r="R441" t="s">
        <v>45</v>
      </c>
      <c r="S441" t="s">
        <v>45</v>
      </c>
      <c r="T441" s="2">
        <v>42461</v>
      </c>
      <c r="U441">
        <v>4</v>
      </c>
      <c r="V441">
        <f t="shared" ca="1" si="6"/>
        <v>0.38316880200781034</v>
      </c>
    </row>
    <row r="442" spans="1:22">
      <c r="A442">
        <v>441</v>
      </c>
      <c r="B442" t="s">
        <v>0</v>
      </c>
      <c r="C442" t="s">
        <v>56</v>
      </c>
      <c r="D442" t="s">
        <v>50</v>
      </c>
      <c r="F442" t="s">
        <v>53</v>
      </c>
      <c r="G442" t="s">
        <v>52</v>
      </c>
      <c r="H442" t="s">
        <v>7</v>
      </c>
      <c r="I442" t="s">
        <v>7</v>
      </c>
      <c r="J442" s="1" t="s">
        <v>39</v>
      </c>
      <c r="K442" t="s">
        <v>39</v>
      </c>
      <c r="L442">
        <v>0</v>
      </c>
      <c r="M442" t="str">
        <f>IF(D442="Y","",IF(N442="Y",INDEX(#REF!,MATCH(C442,#REF!,0)),C442))</f>
        <v/>
      </c>
      <c r="N442" t="s">
        <v>52</v>
      </c>
      <c r="O442" t="s">
        <v>40</v>
      </c>
      <c r="P442">
        <v>28</v>
      </c>
      <c r="Q442" t="s">
        <v>20</v>
      </c>
      <c r="R442" t="s">
        <v>45</v>
      </c>
      <c r="S442" t="s">
        <v>45</v>
      </c>
      <c r="T442" s="2">
        <v>43922</v>
      </c>
      <c r="U442">
        <v>0</v>
      </c>
      <c r="V442">
        <f t="shared" ca="1" si="6"/>
        <v>0.72995539644333129</v>
      </c>
    </row>
    <row r="443" spans="1:22">
      <c r="A443">
        <v>442</v>
      </c>
      <c r="B443" t="s">
        <v>0</v>
      </c>
      <c r="C443" t="s">
        <v>61</v>
      </c>
      <c r="D443" t="s">
        <v>52</v>
      </c>
      <c r="E443">
        <v>2</v>
      </c>
      <c r="F443" t="s">
        <v>53</v>
      </c>
      <c r="G443" t="s">
        <v>50</v>
      </c>
      <c r="H443" t="s">
        <v>5</v>
      </c>
      <c r="I443" t="s">
        <v>5</v>
      </c>
      <c r="J443" s="1" t="s">
        <v>39</v>
      </c>
      <c r="K443" t="s">
        <v>39</v>
      </c>
      <c r="L443">
        <v>4</v>
      </c>
      <c r="M443" t="str">
        <f>IF(D443="Y","",IF(N443="Y",INDEX(#REF!,MATCH(C443,#REF!,0)),C443))</f>
        <v>5 - Senior Officer</v>
      </c>
      <c r="N443" t="s">
        <v>52</v>
      </c>
      <c r="O443" t="s">
        <v>42</v>
      </c>
      <c r="P443">
        <v>42</v>
      </c>
      <c r="Q443" t="s">
        <v>19</v>
      </c>
      <c r="R443" t="s">
        <v>45</v>
      </c>
      <c r="S443" t="s">
        <v>45</v>
      </c>
      <c r="T443" s="2">
        <v>40634</v>
      </c>
      <c r="U443">
        <v>9</v>
      </c>
      <c r="V443">
        <f t="shared" ca="1" si="6"/>
        <v>0.25369594137175389</v>
      </c>
    </row>
    <row r="444" spans="1:22">
      <c r="A444">
        <v>443</v>
      </c>
      <c r="B444" t="s">
        <v>1</v>
      </c>
      <c r="C444" t="s">
        <v>56</v>
      </c>
      <c r="D444" t="s">
        <v>52</v>
      </c>
      <c r="E444">
        <v>3</v>
      </c>
      <c r="F444" t="s">
        <v>53</v>
      </c>
      <c r="G444" t="s">
        <v>50</v>
      </c>
      <c r="H444" t="s">
        <v>5</v>
      </c>
      <c r="I444" t="s">
        <v>5</v>
      </c>
      <c r="J444" s="1" t="s">
        <v>39</v>
      </c>
      <c r="K444" t="s">
        <v>39</v>
      </c>
      <c r="L444">
        <v>2</v>
      </c>
      <c r="M444" t="str">
        <f>IF(D444="Y","",IF(N444="Y",INDEX(#REF!,MATCH(C444,#REF!,0)),C444))</f>
        <v>6 - Junior Officer</v>
      </c>
      <c r="N444" t="s">
        <v>52</v>
      </c>
      <c r="O444" t="s">
        <v>40</v>
      </c>
      <c r="P444">
        <v>21</v>
      </c>
      <c r="Q444" t="s">
        <v>20</v>
      </c>
      <c r="R444" t="s">
        <v>45</v>
      </c>
      <c r="S444" t="s">
        <v>45</v>
      </c>
      <c r="T444" s="2">
        <v>43191</v>
      </c>
      <c r="U444">
        <v>2</v>
      </c>
      <c r="V444">
        <f t="shared" ca="1" si="6"/>
        <v>0.7349247033354297</v>
      </c>
    </row>
    <row r="445" spans="1:22">
      <c r="A445">
        <v>444</v>
      </c>
      <c r="B445" t="s">
        <v>1</v>
      </c>
      <c r="C445" t="s">
        <v>61</v>
      </c>
      <c r="D445" t="s">
        <v>52</v>
      </c>
      <c r="E445">
        <v>3</v>
      </c>
      <c r="F445" t="s">
        <v>53</v>
      </c>
      <c r="G445" t="s">
        <v>50</v>
      </c>
      <c r="H445" t="s">
        <v>7</v>
      </c>
      <c r="I445" t="s">
        <v>7</v>
      </c>
      <c r="J445" s="1" t="s">
        <v>39</v>
      </c>
      <c r="K445" t="s">
        <v>39</v>
      </c>
      <c r="L445">
        <v>1</v>
      </c>
      <c r="M445" t="e">
        <f>IF(D445="Y","",IF(N445="Y",INDEX(#REF!,MATCH(C445,#REF!,0)),C445))</f>
        <v>#REF!</v>
      </c>
      <c r="N445" t="s">
        <v>50</v>
      </c>
      <c r="O445" t="s">
        <v>40</v>
      </c>
      <c r="P445">
        <v>24</v>
      </c>
      <c r="Q445" t="s">
        <v>9</v>
      </c>
      <c r="R445" t="s">
        <v>9</v>
      </c>
      <c r="S445" t="s">
        <v>9</v>
      </c>
      <c r="T445" s="2">
        <v>42095</v>
      </c>
      <c r="U445">
        <v>5</v>
      </c>
      <c r="V445">
        <f t="shared" ca="1" si="6"/>
        <v>0.13103972144516396</v>
      </c>
    </row>
    <row r="446" spans="1:22">
      <c r="A446">
        <v>445</v>
      </c>
      <c r="B446" t="s">
        <v>1</v>
      </c>
      <c r="C446" t="s">
        <v>57</v>
      </c>
      <c r="D446" t="s">
        <v>52</v>
      </c>
      <c r="E446">
        <v>2</v>
      </c>
      <c r="F446" t="s">
        <v>53</v>
      </c>
      <c r="G446" t="s">
        <v>50</v>
      </c>
      <c r="H446" t="s">
        <v>6</v>
      </c>
      <c r="I446" t="s">
        <v>6</v>
      </c>
      <c r="J446" s="1" t="s">
        <v>39</v>
      </c>
      <c r="K446" t="s">
        <v>39</v>
      </c>
      <c r="L446">
        <v>3</v>
      </c>
      <c r="M446" t="str">
        <f>IF(D446="Y","",IF(N446="Y",INDEX(#REF!,MATCH(C446,#REF!,0)),C446))</f>
        <v>4 - Manager</v>
      </c>
      <c r="N446" t="s">
        <v>52</v>
      </c>
      <c r="O446" t="s">
        <v>41</v>
      </c>
      <c r="P446">
        <v>34</v>
      </c>
      <c r="Q446" t="s">
        <v>9</v>
      </c>
      <c r="R446" t="s">
        <v>9</v>
      </c>
      <c r="S446" t="s">
        <v>9</v>
      </c>
      <c r="T446" s="2">
        <v>41000</v>
      </c>
      <c r="U446">
        <v>8</v>
      </c>
      <c r="V446">
        <f t="shared" ca="1" si="6"/>
        <v>0.97132403937075729</v>
      </c>
    </row>
    <row r="447" spans="1:22">
      <c r="A447">
        <v>446</v>
      </c>
      <c r="B447" t="s">
        <v>1</v>
      </c>
      <c r="C447" t="s">
        <v>59</v>
      </c>
      <c r="D447" t="s">
        <v>52</v>
      </c>
      <c r="E447">
        <v>2</v>
      </c>
      <c r="F447" t="s">
        <v>53</v>
      </c>
      <c r="G447" t="s">
        <v>50</v>
      </c>
      <c r="H447" t="s">
        <v>7</v>
      </c>
      <c r="I447" t="s">
        <v>7</v>
      </c>
      <c r="J447" s="1" t="s">
        <v>39</v>
      </c>
      <c r="K447" t="s">
        <v>39</v>
      </c>
      <c r="L447">
        <v>6</v>
      </c>
      <c r="M447" t="str">
        <f>IF(D447="Y","",IF(N447="Y",INDEX(#REF!,MATCH(C447,#REF!,0)),C447))</f>
        <v>2 - Director</v>
      </c>
      <c r="N447" t="s">
        <v>52</v>
      </c>
      <c r="O447" t="s">
        <v>42</v>
      </c>
      <c r="P447">
        <v>41</v>
      </c>
      <c r="Q447" t="s">
        <v>9</v>
      </c>
      <c r="R447" t="s">
        <v>9</v>
      </c>
      <c r="S447" t="s">
        <v>9</v>
      </c>
      <c r="T447" s="2">
        <v>41730</v>
      </c>
      <c r="U447">
        <v>6</v>
      </c>
      <c r="V447">
        <f t="shared" ca="1" si="6"/>
        <v>8.8799599258864936E-2</v>
      </c>
    </row>
    <row r="448" spans="1:22">
      <c r="A448">
        <v>447</v>
      </c>
      <c r="B448" t="s">
        <v>0</v>
      </c>
      <c r="C448" t="s">
        <v>56</v>
      </c>
      <c r="D448" t="s">
        <v>52</v>
      </c>
      <c r="E448">
        <v>2</v>
      </c>
      <c r="F448" t="s">
        <v>53</v>
      </c>
      <c r="G448" t="s">
        <v>50</v>
      </c>
      <c r="H448" t="s">
        <v>7</v>
      </c>
      <c r="I448" t="s">
        <v>7</v>
      </c>
      <c r="J448" s="1" t="s">
        <v>39</v>
      </c>
      <c r="K448" t="s">
        <v>39</v>
      </c>
      <c r="L448">
        <v>3</v>
      </c>
      <c r="M448" t="str">
        <f>IF(D448="Y","",IF(N448="Y",INDEX(#REF!,MATCH(C448,#REF!,0)),C448))</f>
        <v>6 - Junior Officer</v>
      </c>
      <c r="N448" t="s">
        <v>52</v>
      </c>
      <c r="O448" t="s">
        <v>40</v>
      </c>
      <c r="P448">
        <v>24</v>
      </c>
      <c r="Q448" t="s">
        <v>9</v>
      </c>
      <c r="R448" t="s">
        <v>9</v>
      </c>
      <c r="S448" t="s">
        <v>9</v>
      </c>
      <c r="T448" s="2">
        <v>42826</v>
      </c>
      <c r="U448">
        <v>3</v>
      </c>
      <c r="V448">
        <f t="shared" ca="1" si="6"/>
        <v>0.95928180076919822</v>
      </c>
    </row>
    <row r="449" spans="1:22">
      <c r="A449">
        <v>448</v>
      </c>
      <c r="B449" t="s">
        <v>1</v>
      </c>
      <c r="C449" t="s">
        <v>58</v>
      </c>
      <c r="D449" t="s">
        <v>52</v>
      </c>
      <c r="E449">
        <v>2</v>
      </c>
      <c r="F449" t="s">
        <v>53</v>
      </c>
      <c r="G449" t="s">
        <v>50</v>
      </c>
      <c r="H449" t="s">
        <v>5</v>
      </c>
      <c r="I449" t="s">
        <v>5</v>
      </c>
      <c r="J449" s="1" t="s">
        <v>39</v>
      </c>
      <c r="K449" t="s">
        <v>39</v>
      </c>
      <c r="L449">
        <v>3</v>
      </c>
      <c r="M449" t="str">
        <f>IF(D449="Y","",IF(N449="Y",INDEX(#REF!,MATCH(C449,#REF!,0)),C449))</f>
        <v>3 - Senior Manager</v>
      </c>
      <c r="N449" t="s">
        <v>52</v>
      </c>
      <c r="O449" t="s">
        <v>41</v>
      </c>
      <c r="P449">
        <v>33</v>
      </c>
      <c r="Q449" t="s">
        <v>9</v>
      </c>
      <c r="R449" t="s">
        <v>9</v>
      </c>
      <c r="S449" t="s">
        <v>9</v>
      </c>
      <c r="T449" s="2">
        <v>42095</v>
      </c>
      <c r="U449">
        <v>5</v>
      </c>
      <c r="V449">
        <f t="shared" ca="1" si="6"/>
        <v>0.77122592110141508</v>
      </c>
    </row>
    <row r="450" spans="1:22">
      <c r="A450">
        <v>449</v>
      </c>
      <c r="B450" t="s">
        <v>1</v>
      </c>
      <c r="C450" t="s">
        <v>56</v>
      </c>
      <c r="D450" t="s">
        <v>52</v>
      </c>
      <c r="E450">
        <v>2</v>
      </c>
      <c r="F450" t="s">
        <v>53</v>
      </c>
      <c r="G450" t="s">
        <v>50</v>
      </c>
      <c r="H450" t="s">
        <v>5</v>
      </c>
      <c r="I450" t="s">
        <v>5</v>
      </c>
      <c r="J450" s="1" t="s">
        <v>39</v>
      </c>
      <c r="K450" t="s">
        <v>39</v>
      </c>
      <c r="L450">
        <v>3</v>
      </c>
      <c r="M450" t="str">
        <f>IF(D450="Y","",IF(N450="Y",INDEX(#REF!,MATCH(C450,#REF!,0)),C450))</f>
        <v>6 - Junior Officer</v>
      </c>
      <c r="N450" t="s">
        <v>52</v>
      </c>
      <c r="O450" t="s">
        <v>63</v>
      </c>
      <c r="P450">
        <v>19</v>
      </c>
      <c r="Q450" t="s">
        <v>9</v>
      </c>
      <c r="R450" t="s">
        <v>9</v>
      </c>
      <c r="S450" t="s">
        <v>9</v>
      </c>
      <c r="T450" s="2">
        <v>42826</v>
      </c>
      <c r="U450">
        <v>3</v>
      </c>
      <c r="V450">
        <f t="shared" ref="V450:V501" ca="1" si="7">RAND()</f>
        <v>0.8463251910937496</v>
      </c>
    </row>
    <row r="451" spans="1:22">
      <c r="A451">
        <v>450</v>
      </c>
      <c r="B451" t="s">
        <v>1</v>
      </c>
      <c r="C451" t="s">
        <v>61</v>
      </c>
      <c r="D451" t="s">
        <v>52</v>
      </c>
      <c r="E451">
        <v>2</v>
      </c>
      <c r="F451" t="s">
        <v>53</v>
      </c>
      <c r="G451" t="s">
        <v>50</v>
      </c>
      <c r="H451" t="s">
        <v>5</v>
      </c>
      <c r="I451" t="s">
        <v>5</v>
      </c>
      <c r="J451" s="1" t="s">
        <v>39</v>
      </c>
      <c r="K451" t="s">
        <v>39</v>
      </c>
      <c r="L451">
        <v>3</v>
      </c>
      <c r="M451" t="str">
        <f>IF(D451="Y","",IF(N451="Y",INDEX(#REF!,MATCH(C451,#REF!,0)),C451))</f>
        <v>5 - Senior Officer</v>
      </c>
      <c r="N451" t="s">
        <v>52</v>
      </c>
      <c r="O451" t="s">
        <v>41</v>
      </c>
      <c r="P451">
        <v>30</v>
      </c>
      <c r="Q451" t="s">
        <v>9</v>
      </c>
      <c r="R451" t="s">
        <v>9</v>
      </c>
      <c r="S451" t="s">
        <v>9</v>
      </c>
      <c r="T451" s="2">
        <v>41365</v>
      </c>
      <c r="U451">
        <v>7</v>
      </c>
      <c r="V451">
        <f t="shared" ca="1" si="7"/>
        <v>0.71637049757968585</v>
      </c>
    </row>
    <row r="452" spans="1:22">
      <c r="A452">
        <v>451</v>
      </c>
      <c r="B452" t="s">
        <v>1</v>
      </c>
      <c r="C452" t="s">
        <v>61</v>
      </c>
      <c r="D452" t="s">
        <v>52</v>
      </c>
      <c r="E452">
        <v>2</v>
      </c>
      <c r="F452" t="s">
        <v>53</v>
      </c>
      <c r="G452" t="s">
        <v>50</v>
      </c>
      <c r="H452" t="s">
        <v>7</v>
      </c>
      <c r="I452" t="s">
        <v>7</v>
      </c>
      <c r="J452" s="1" t="s">
        <v>39</v>
      </c>
      <c r="K452" t="s">
        <v>39</v>
      </c>
      <c r="L452">
        <v>2</v>
      </c>
      <c r="M452" t="str">
        <f>IF(D452="Y","",IF(N452="Y",INDEX(#REF!,MATCH(C452,#REF!,0)),C452))</f>
        <v>5 - Senior Officer</v>
      </c>
      <c r="N452" t="s">
        <v>52</v>
      </c>
      <c r="O452" t="s">
        <v>40</v>
      </c>
      <c r="P452">
        <v>25</v>
      </c>
      <c r="Q452" t="s">
        <v>20</v>
      </c>
      <c r="R452" t="s">
        <v>45</v>
      </c>
      <c r="S452" t="s">
        <v>45</v>
      </c>
      <c r="T452" s="2">
        <v>43191</v>
      </c>
      <c r="U452">
        <v>2</v>
      </c>
      <c r="V452">
        <f t="shared" ca="1" si="7"/>
        <v>0.43594105009654915</v>
      </c>
    </row>
    <row r="453" spans="1:22">
      <c r="A453">
        <v>452</v>
      </c>
      <c r="B453" t="s">
        <v>0</v>
      </c>
      <c r="C453" t="s">
        <v>56</v>
      </c>
      <c r="D453" t="s">
        <v>52</v>
      </c>
      <c r="E453">
        <v>2</v>
      </c>
      <c r="F453" t="s">
        <v>53</v>
      </c>
      <c r="G453" t="s">
        <v>50</v>
      </c>
      <c r="H453" t="s">
        <v>5</v>
      </c>
      <c r="I453" t="s">
        <v>5</v>
      </c>
      <c r="J453" s="1" t="s">
        <v>39</v>
      </c>
      <c r="K453" t="s">
        <v>39</v>
      </c>
      <c r="L453">
        <v>2</v>
      </c>
      <c r="M453" t="str">
        <f>IF(D453="Y","",IF(N453="Y",INDEX(#REF!,MATCH(C453,#REF!,0)),C453))</f>
        <v>6 - Junior Officer</v>
      </c>
      <c r="N453" t="s">
        <v>52</v>
      </c>
      <c r="O453" t="s">
        <v>40</v>
      </c>
      <c r="P453">
        <v>23</v>
      </c>
      <c r="Q453" t="s">
        <v>26</v>
      </c>
      <c r="R453" t="s">
        <v>45</v>
      </c>
      <c r="S453" t="s">
        <v>45</v>
      </c>
      <c r="T453" s="2">
        <v>43191</v>
      </c>
      <c r="U453">
        <v>2</v>
      </c>
      <c r="V453">
        <f t="shared" ca="1" si="7"/>
        <v>2.413647398708274E-2</v>
      </c>
    </row>
    <row r="454" spans="1:22">
      <c r="A454">
        <v>453</v>
      </c>
      <c r="B454" t="s">
        <v>1</v>
      </c>
      <c r="C454" t="s">
        <v>59</v>
      </c>
      <c r="D454" t="s">
        <v>52</v>
      </c>
      <c r="E454">
        <v>2</v>
      </c>
      <c r="F454" t="s">
        <v>53</v>
      </c>
      <c r="G454" t="s">
        <v>50</v>
      </c>
      <c r="H454" t="s">
        <v>7</v>
      </c>
      <c r="I454" t="s">
        <v>7</v>
      </c>
      <c r="J454" s="1" t="s">
        <v>39</v>
      </c>
      <c r="K454" t="s">
        <v>39</v>
      </c>
      <c r="L454">
        <v>4</v>
      </c>
      <c r="M454" t="str">
        <f>IF(D454="Y","",IF(N454="Y",INDEX(#REF!,MATCH(C454,#REF!,0)),C454))</f>
        <v>2 - Director</v>
      </c>
      <c r="N454" t="s">
        <v>52</v>
      </c>
      <c r="O454" t="s">
        <v>41</v>
      </c>
      <c r="P454">
        <v>39</v>
      </c>
      <c r="Q454" t="s">
        <v>9</v>
      </c>
      <c r="R454" t="s">
        <v>9</v>
      </c>
      <c r="S454" t="s">
        <v>9</v>
      </c>
      <c r="T454" s="2">
        <v>41000</v>
      </c>
      <c r="U454">
        <v>8</v>
      </c>
      <c r="V454">
        <f t="shared" ca="1" si="7"/>
        <v>0.24213657322741933</v>
      </c>
    </row>
    <row r="455" spans="1:22">
      <c r="A455">
        <v>454</v>
      </c>
      <c r="B455" t="s">
        <v>1</v>
      </c>
      <c r="C455" t="s">
        <v>61</v>
      </c>
      <c r="D455" t="s">
        <v>52</v>
      </c>
      <c r="E455">
        <v>1</v>
      </c>
      <c r="F455" t="s">
        <v>53</v>
      </c>
      <c r="G455" t="s">
        <v>50</v>
      </c>
      <c r="H455" t="s">
        <v>5</v>
      </c>
      <c r="I455" t="s">
        <v>5</v>
      </c>
      <c r="J455" s="1" t="s">
        <v>39</v>
      </c>
      <c r="K455" t="s">
        <v>39</v>
      </c>
      <c r="L455">
        <v>3</v>
      </c>
      <c r="M455" t="str">
        <f>IF(D455="Y","",IF(N455="Y",INDEX(#REF!,MATCH(C455,#REF!,0)),C455))</f>
        <v>5 - Senior Officer</v>
      </c>
      <c r="N455" t="s">
        <v>52</v>
      </c>
      <c r="O455" t="s">
        <v>41</v>
      </c>
      <c r="P455">
        <v>34</v>
      </c>
      <c r="Q455" t="s">
        <v>9</v>
      </c>
      <c r="R455" t="s">
        <v>9</v>
      </c>
      <c r="S455" t="s">
        <v>9</v>
      </c>
      <c r="T455" s="2">
        <v>42461</v>
      </c>
      <c r="U455">
        <v>4</v>
      </c>
      <c r="V455">
        <f t="shared" ca="1" si="7"/>
        <v>0.13134941641672027</v>
      </c>
    </row>
    <row r="456" spans="1:22">
      <c r="A456">
        <v>455</v>
      </c>
      <c r="B456" t="s">
        <v>0</v>
      </c>
      <c r="C456" t="s">
        <v>60</v>
      </c>
      <c r="D456" t="s">
        <v>52</v>
      </c>
      <c r="F456" t="s">
        <v>53</v>
      </c>
      <c r="G456" t="s">
        <v>50</v>
      </c>
      <c r="H456" t="s">
        <v>7</v>
      </c>
      <c r="I456" t="s">
        <v>7</v>
      </c>
      <c r="J456" s="1" t="s">
        <v>39</v>
      </c>
      <c r="K456" t="s">
        <v>39</v>
      </c>
      <c r="L456">
        <v>4</v>
      </c>
      <c r="M456" t="str">
        <f>IF(D456="Y","",IF(N456="Y",INDEX(#REF!,MATCH(C456,#REF!,0)),C456))</f>
        <v>1 - Executive</v>
      </c>
      <c r="N456" t="s">
        <v>52</v>
      </c>
      <c r="O456" t="s">
        <v>42</v>
      </c>
      <c r="P456">
        <v>45</v>
      </c>
      <c r="Q456" t="s">
        <v>20</v>
      </c>
      <c r="R456" t="s">
        <v>45</v>
      </c>
      <c r="S456" t="s">
        <v>45</v>
      </c>
      <c r="T456" s="2">
        <v>42461</v>
      </c>
      <c r="U456">
        <v>4</v>
      </c>
      <c r="V456">
        <f t="shared" ca="1" si="7"/>
        <v>0.71945598794075505</v>
      </c>
    </row>
    <row r="457" spans="1:22">
      <c r="A457">
        <v>456</v>
      </c>
      <c r="B457" t="s">
        <v>1</v>
      </c>
      <c r="C457" t="s">
        <v>61</v>
      </c>
      <c r="D457" t="s">
        <v>52</v>
      </c>
      <c r="E457">
        <v>2</v>
      </c>
      <c r="F457" t="s">
        <v>53</v>
      </c>
      <c r="G457" t="s">
        <v>50</v>
      </c>
      <c r="H457" t="s">
        <v>6</v>
      </c>
      <c r="I457" t="s">
        <v>6</v>
      </c>
      <c r="J457" s="1" t="s">
        <v>39</v>
      </c>
      <c r="K457" t="s">
        <v>39</v>
      </c>
      <c r="L457">
        <v>3</v>
      </c>
      <c r="M457" t="str">
        <f>IF(D457="Y","",IF(N457="Y",INDEX(#REF!,MATCH(C457,#REF!,0)),C457))</f>
        <v>5 - Senior Officer</v>
      </c>
      <c r="N457" t="s">
        <v>52</v>
      </c>
      <c r="O457" t="s">
        <v>40</v>
      </c>
      <c r="P457">
        <v>28</v>
      </c>
      <c r="Q457" t="s">
        <v>21</v>
      </c>
      <c r="R457" t="s">
        <v>45</v>
      </c>
      <c r="S457" t="s">
        <v>45</v>
      </c>
      <c r="T457" s="2">
        <v>41365</v>
      </c>
      <c r="U457">
        <v>7</v>
      </c>
      <c r="V457">
        <f t="shared" ca="1" si="7"/>
        <v>0.28115632127686807</v>
      </c>
    </row>
    <row r="458" spans="1:22">
      <c r="A458">
        <v>457</v>
      </c>
      <c r="B458" t="s">
        <v>1</v>
      </c>
      <c r="C458" t="s">
        <v>61</v>
      </c>
      <c r="D458" t="s">
        <v>52</v>
      </c>
      <c r="E458">
        <v>2</v>
      </c>
      <c r="F458" t="s">
        <v>53</v>
      </c>
      <c r="G458" t="s">
        <v>50</v>
      </c>
      <c r="H458" t="s">
        <v>7</v>
      </c>
      <c r="I458" t="s">
        <v>7</v>
      </c>
      <c r="J458" s="1" t="s">
        <v>39</v>
      </c>
      <c r="K458" t="s">
        <v>39</v>
      </c>
      <c r="L458">
        <v>3</v>
      </c>
      <c r="M458" t="str">
        <f>IF(D458="Y","",IF(N458="Y",INDEX(#REF!,MATCH(C458,#REF!,0)),C458))</f>
        <v>5 - Senior Officer</v>
      </c>
      <c r="N458" t="s">
        <v>52</v>
      </c>
      <c r="O458" t="s">
        <v>41</v>
      </c>
      <c r="P458">
        <v>31</v>
      </c>
      <c r="Q458" t="s">
        <v>9</v>
      </c>
      <c r="R458" t="s">
        <v>9</v>
      </c>
      <c r="S458" t="s">
        <v>9</v>
      </c>
      <c r="T458" s="2">
        <v>41365</v>
      </c>
      <c r="U458">
        <v>7</v>
      </c>
      <c r="V458">
        <f t="shared" ca="1" si="7"/>
        <v>0.96470547102961435</v>
      </c>
    </row>
    <row r="459" spans="1:22">
      <c r="A459">
        <v>458</v>
      </c>
      <c r="B459" t="s">
        <v>0</v>
      </c>
      <c r="C459" t="s">
        <v>58</v>
      </c>
      <c r="D459" t="s">
        <v>52</v>
      </c>
      <c r="E459">
        <v>4</v>
      </c>
      <c r="F459" t="s">
        <v>53</v>
      </c>
      <c r="G459" t="s">
        <v>50</v>
      </c>
      <c r="H459" t="s">
        <v>7</v>
      </c>
      <c r="I459" t="s">
        <v>7</v>
      </c>
      <c r="J459" s="1" t="s">
        <v>39</v>
      </c>
      <c r="K459" t="s">
        <v>39</v>
      </c>
      <c r="L459">
        <v>2</v>
      </c>
      <c r="M459" t="str">
        <f>IF(D459="Y","",IF(N459="Y",INDEX(#REF!,MATCH(C459,#REF!,0)),C459))</f>
        <v>3 - Senior Manager</v>
      </c>
      <c r="N459" t="s">
        <v>52</v>
      </c>
      <c r="O459" t="s">
        <v>42</v>
      </c>
      <c r="P459">
        <v>48</v>
      </c>
      <c r="Q459" t="s">
        <v>19</v>
      </c>
      <c r="R459" t="s">
        <v>45</v>
      </c>
      <c r="S459" t="s">
        <v>45</v>
      </c>
      <c r="T459" s="2">
        <v>40634</v>
      </c>
      <c r="U459">
        <v>9</v>
      </c>
      <c r="V459">
        <f t="shared" ca="1" si="7"/>
        <v>0.39108607758596392</v>
      </c>
    </row>
    <row r="460" spans="1:22">
      <c r="A460">
        <v>459</v>
      </c>
      <c r="B460" t="s">
        <v>0</v>
      </c>
      <c r="C460" t="s">
        <v>56</v>
      </c>
      <c r="D460" t="s">
        <v>52</v>
      </c>
      <c r="E460">
        <v>2</v>
      </c>
      <c r="F460" t="s">
        <v>53</v>
      </c>
      <c r="G460" t="s">
        <v>50</v>
      </c>
      <c r="H460" t="s">
        <v>6</v>
      </c>
      <c r="I460" t="s">
        <v>6</v>
      </c>
      <c r="J460" s="1">
        <v>0.8</v>
      </c>
      <c r="K460" t="s">
        <v>38</v>
      </c>
      <c r="L460">
        <v>3</v>
      </c>
      <c r="M460" t="str">
        <f>IF(D460="Y","",IF(N460="Y",INDEX(#REF!,MATCH(C460,#REF!,0)),C460))</f>
        <v>6 - Junior Officer</v>
      </c>
      <c r="N460" t="s">
        <v>52</v>
      </c>
      <c r="O460" t="s">
        <v>40</v>
      </c>
      <c r="P460">
        <v>24</v>
      </c>
      <c r="Q460" t="s">
        <v>9</v>
      </c>
      <c r="R460" t="s">
        <v>9</v>
      </c>
      <c r="S460" t="s">
        <v>9</v>
      </c>
      <c r="T460" s="2">
        <v>42826</v>
      </c>
      <c r="U460">
        <v>3</v>
      </c>
      <c r="V460">
        <f t="shared" ca="1" si="7"/>
        <v>0.12990736447892437</v>
      </c>
    </row>
    <row r="461" spans="1:22">
      <c r="A461">
        <v>460</v>
      </c>
      <c r="B461" t="s">
        <v>1</v>
      </c>
      <c r="C461" t="s">
        <v>57</v>
      </c>
      <c r="D461" t="s">
        <v>52</v>
      </c>
      <c r="E461">
        <v>3</v>
      </c>
      <c r="F461" t="s">
        <v>53</v>
      </c>
      <c r="G461" t="s">
        <v>50</v>
      </c>
      <c r="H461" t="s">
        <v>7</v>
      </c>
      <c r="I461" t="s">
        <v>7</v>
      </c>
      <c r="J461" s="1" t="s">
        <v>39</v>
      </c>
      <c r="K461" t="s">
        <v>39</v>
      </c>
      <c r="L461">
        <v>2</v>
      </c>
      <c r="M461" t="str">
        <f>IF(D461="Y","",IF(N461="Y",INDEX(#REF!,MATCH(C461,#REF!,0)),C461))</f>
        <v>4 - Manager</v>
      </c>
      <c r="N461" t="s">
        <v>52</v>
      </c>
      <c r="O461" t="s">
        <v>41</v>
      </c>
      <c r="P461">
        <v>32</v>
      </c>
      <c r="Q461" t="s">
        <v>9</v>
      </c>
      <c r="R461" t="s">
        <v>9</v>
      </c>
      <c r="S461" t="s">
        <v>9</v>
      </c>
      <c r="T461" s="2">
        <v>42095</v>
      </c>
      <c r="U461">
        <v>5</v>
      </c>
      <c r="V461">
        <f t="shared" ca="1" si="7"/>
        <v>0.14451626245863969</v>
      </c>
    </row>
    <row r="462" spans="1:22">
      <c r="A462">
        <v>461</v>
      </c>
      <c r="B462" t="s">
        <v>0</v>
      </c>
      <c r="C462" t="s">
        <v>56</v>
      </c>
      <c r="D462" t="s">
        <v>52</v>
      </c>
      <c r="E462">
        <v>3</v>
      </c>
      <c r="F462" t="s">
        <v>53</v>
      </c>
      <c r="G462" t="s">
        <v>50</v>
      </c>
      <c r="H462" t="s">
        <v>5</v>
      </c>
      <c r="I462" t="s">
        <v>5</v>
      </c>
      <c r="J462" s="1" t="s">
        <v>39</v>
      </c>
      <c r="K462" t="s">
        <v>39</v>
      </c>
      <c r="L462">
        <v>2</v>
      </c>
      <c r="M462" t="str">
        <f>IF(D462="Y","",IF(N462="Y",INDEX(#REF!,MATCH(C462,#REF!,0)),C462))</f>
        <v>6 - Junior Officer</v>
      </c>
      <c r="N462" t="s">
        <v>52</v>
      </c>
      <c r="O462" t="s">
        <v>40</v>
      </c>
      <c r="P462">
        <v>28</v>
      </c>
      <c r="Q462" t="s">
        <v>9</v>
      </c>
      <c r="R462" t="s">
        <v>9</v>
      </c>
      <c r="S462" t="s">
        <v>9</v>
      </c>
      <c r="T462" s="2">
        <v>43191</v>
      </c>
      <c r="U462">
        <v>2</v>
      </c>
      <c r="V462">
        <f t="shared" ca="1" si="7"/>
        <v>0.19825923686204017</v>
      </c>
    </row>
    <row r="463" spans="1:22">
      <c r="A463">
        <v>462</v>
      </c>
      <c r="B463" t="s">
        <v>1</v>
      </c>
      <c r="C463" t="s">
        <v>57</v>
      </c>
      <c r="D463" t="s">
        <v>52</v>
      </c>
      <c r="E463">
        <v>2</v>
      </c>
      <c r="F463" t="s">
        <v>53</v>
      </c>
      <c r="G463" t="s">
        <v>50</v>
      </c>
      <c r="H463" t="s">
        <v>5</v>
      </c>
      <c r="I463" t="s">
        <v>5</v>
      </c>
      <c r="J463" s="1" t="s">
        <v>39</v>
      </c>
      <c r="K463" t="s">
        <v>39</v>
      </c>
      <c r="L463">
        <v>3</v>
      </c>
      <c r="M463" t="str">
        <f>IF(D463="Y","",IF(N463="Y",INDEX(#REF!,MATCH(C463,#REF!,0)),C463))</f>
        <v>4 - Manager</v>
      </c>
      <c r="N463" t="s">
        <v>52</v>
      </c>
      <c r="O463" t="s">
        <v>41</v>
      </c>
      <c r="P463">
        <v>39</v>
      </c>
      <c r="Q463" t="s">
        <v>9</v>
      </c>
      <c r="R463" t="s">
        <v>9</v>
      </c>
      <c r="S463" t="s">
        <v>9</v>
      </c>
      <c r="T463" s="2">
        <v>42461</v>
      </c>
      <c r="U463">
        <v>4</v>
      </c>
      <c r="V463">
        <f t="shared" ca="1" si="7"/>
        <v>0.40775424396565429</v>
      </c>
    </row>
    <row r="464" spans="1:22">
      <c r="A464">
        <v>463</v>
      </c>
      <c r="B464" t="s">
        <v>0</v>
      </c>
      <c r="C464" t="s">
        <v>56</v>
      </c>
      <c r="D464" t="s">
        <v>52</v>
      </c>
      <c r="E464">
        <v>2</v>
      </c>
      <c r="F464" t="s">
        <v>53</v>
      </c>
      <c r="G464" t="s">
        <v>50</v>
      </c>
      <c r="H464" t="s">
        <v>5</v>
      </c>
      <c r="I464" t="s">
        <v>5</v>
      </c>
      <c r="J464" s="1" t="s">
        <v>39</v>
      </c>
      <c r="K464" t="s">
        <v>39</v>
      </c>
      <c r="L464">
        <v>2</v>
      </c>
      <c r="M464" t="str">
        <f>IF(D464="Y","",IF(N464="Y",INDEX(#REF!,MATCH(C464,#REF!,0)),C464))</f>
        <v>6 - Junior Officer</v>
      </c>
      <c r="N464" t="s">
        <v>52</v>
      </c>
      <c r="O464" t="s">
        <v>63</v>
      </c>
      <c r="P464">
        <v>19</v>
      </c>
      <c r="Q464" t="s">
        <v>20</v>
      </c>
      <c r="R464" t="s">
        <v>45</v>
      </c>
      <c r="S464" t="s">
        <v>45</v>
      </c>
      <c r="T464" s="2">
        <v>43191</v>
      </c>
      <c r="U464">
        <v>2</v>
      </c>
      <c r="V464">
        <f t="shared" ca="1" si="7"/>
        <v>0.8514460182715532</v>
      </c>
    </row>
    <row r="465" spans="1:22">
      <c r="A465">
        <v>464</v>
      </c>
      <c r="B465" t="s">
        <v>1</v>
      </c>
      <c r="C465" t="s">
        <v>56</v>
      </c>
      <c r="D465" t="s">
        <v>52</v>
      </c>
      <c r="E465">
        <v>2</v>
      </c>
      <c r="F465" t="s">
        <v>53</v>
      </c>
      <c r="G465" t="s">
        <v>50</v>
      </c>
      <c r="H465" t="s">
        <v>7</v>
      </c>
      <c r="I465" t="s">
        <v>7</v>
      </c>
      <c r="J465" s="1" t="s">
        <v>39</v>
      </c>
      <c r="K465" t="s">
        <v>39</v>
      </c>
      <c r="L465">
        <v>1</v>
      </c>
      <c r="M465" t="str">
        <f>IF(D465="Y","",IF(N465="Y",INDEX(#REF!,MATCH(C465,#REF!,0)),C465))</f>
        <v>6 - Junior Officer</v>
      </c>
      <c r="N465" t="s">
        <v>52</v>
      </c>
      <c r="O465" t="s">
        <v>40</v>
      </c>
      <c r="P465">
        <v>21</v>
      </c>
      <c r="Q465" t="s">
        <v>20</v>
      </c>
      <c r="R465" t="s">
        <v>45</v>
      </c>
      <c r="S465" t="s">
        <v>45</v>
      </c>
      <c r="T465" s="2">
        <v>43556</v>
      </c>
      <c r="U465">
        <v>1</v>
      </c>
      <c r="V465">
        <f t="shared" ca="1" si="7"/>
        <v>0.51125410888568401</v>
      </c>
    </row>
    <row r="466" spans="1:22">
      <c r="A466">
        <v>465</v>
      </c>
      <c r="B466" t="s">
        <v>1</v>
      </c>
      <c r="C466" t="s">
        <v>58</v>
      </c>
      <c r="D466" t="s">
        <v>52</v>
      </c>
      <c r="E466">
        <v>2</v>
      </c>
      <c r="F466" t="s">
        <v>53</v>
      </c>
      <c r="G466" t="s">
        <v>50</v>
      </c>
      <c r="H466" t="s">
        <v>7</v>
      </c>
      <c r="I466" t="s">
        <v>7</v>
      </c>
      <c r="J466" s="1" t="s">
        <v>39</v>
      </c>
      <c r="K466" t="s">
        <v>39</v>
      </c>
      <c r="L466">
        <v>2</v>
      </c>
      <c r="M466" t="str">
        <f>IF(D466="Y","",IF(N466="Y",INDEX(#REF!,MATCH(C466,#REF!,0)),C466))</f>
        <v>3 - Senior Manager</v>
      </c>
      <c r="N466" t="s">
        <v>52</v>
      </c>
      <c r="O466" t="s">
        <v>41</v>
      </c>
      <c r="P466">
        <v>33</v>
      </c>
      <c r="Q466" t="s">
        <v>9</v>
      </c>
      <c r="R466" t="s">
        <v>9</v>
      </c>
      <c r="S466" t="s">
        <v>9</v>
      </c>
      <c r="T466" s="2">
        <v>41730</v>
      </c>
      <c r="U466">
        <v>6</v>
      </c>
      <c r="V466">
        <f t="shared" ca="1" si="7"/>
        <v>0.40995040412159311</v>
      </c>
    </row>
    <row r="467" spans="1:22">
      <c r="A467">
        <v>466</v>
      </c>
      <c r="B467" t="s">
        <v>0</v>
      </c>
      <c r="C467" t="s">
        <v>56</v>
      </c>
      <c r="D467" t="s">
        <v>52</v>
      </c>
      <c r="E467">
        <v>3</v>
      </c>
      <c r="F467" t="s">
        <v>53</v>
      </c>
      <c r="G467" t="s">
        <v>50</v>
      </c>
      <c r="H467" t="s">
        <v>7</v>
      </c>
      <c r="I467" t="s">
        <v>7</v>
      </c>
      <c r="J467" s="1">
        <v>0.8</v>
      </c>
      <c r="K467" t="s">
        <v>38</v>
      </c>
      <c r="L467">
        <v>3</v>
      </c>
      <c r="M467" t="str">
        <f>IF(D467="Y","",IF(N467="Y",INDEX(#REF!,MATCH(C467,#REF!,0)),C467))</f>
        <v>6 - Junior Officer</v>
      </c>
      <c r="N467" t="s">
        <v>52</v>
      </c>
      <c r="O467" t="s">
        <v>40</v>
      </c>
      <c r="P467">
        <v>26</v>
      </c>
      <c r="Q467" t="s">
        <v>9</v>
      </c>
      <c r="R467" t="s">
        <v>9</v>
      </c>
      <c r="S467" t="s">
        <v>9</v>
      </c>
      <c r="T467" s="2">
        <v>42826</v>
      </c>
      <c r="U467">
        <v>3</v>
      </c>
      <c r="V467">
        <f t="shared" ca="1" si="7"/>
        <v>0.95044661057831836</v>
      </c>
    </row>
    <row r="468" spans="1:22">
      <c r="A468">
        <v>467</v>
      </c>
      <c r="B468" t="s">
        <v>1</v>
      </c>
      <c r="C468" t="s">
        <v>59</v>
      </c>
      <c r="D468" t="s">
        <v>52</v>
      </c>
      <c r="E468">
        <v>2</v>
      </c>
      <c r="F468" t="s">
        <v>53</v>
      </c>
      <c r="G468" t="s">
        <v>50</v>
      </c>
      <c r="H468" t="s">
        <v>7</v>
      </c>
      <c r="I468" t="s">
        <v>7</v>
      </c>
      <c r="J468" s="1" t="s">
        <v>39</v>
      </c>
      <c r="K468" t="s">
        <v>39</v>
      </c>
      <c r="L468">
        <v>5</v>
      </c>
      <c r="M468" t="str">
        <f>IF(D468="Y","",IF(N468="Y",INDEX(#REF!,MATCH(C468,#REF!,0)),C468))</f>
        <v>2 - Director</v>
      </c>
      <c r="N468" t="s">
        <v>52</v>
      </c>
      <c r="O468" t="s">
        <v>42</v>
      </c>
      <c r="P468">
        <v>48</v>
      </c>
      <c r="Q468" t="s">
        <v>9</v>
      </c>
      <c r="R468" t="s">
        <v>9</v>
      </c>
      <c r="S468" t="s">
        <v>9</v>
      </c>
      <c r="T468" s="2">
        <v>42095</v>
      </c>
      <c r="U468">
        <v>5</v>
      </c>
      <c r="V468">
        <f t="shared" ca="1" si="7"/>
        <v>0.55091609779934747</v>
      </c>
    </row>
    <row r="469" spans="1:22">
      <c r="A469">
        <v>468</v>
      </c>
      <c r="B469" t="s">
        <v>1</v>
      </c>
      <c r="C469" s="3" t="s">
        <v>60</v>
      </c>
      <c r="D469" t="s">
        <v>52</v>
      </c>
      <c r="F469" t="s">
        <v>51</v>
      </c>
      <c r="G469" t="s">
        <v>50</v>
      </c>
      <c r="H469" t="s">
        <v>8</v>
      </c>
      <c r="I469" t="s">
        <v>8</v>
      </c>
      <c r="J469" s="1" t="s">
        <v>39</v>
      </c>
      <c r="K469" t="s">
        <v>39</v>
      </c>
      <c r="L469">
        <v>2</v>
      </c>
      <c r="M469" t="str">
        <f>IF(D469="Y","",IF(N469="Y",INDEX(#REF!,MATCH(C469,#REF!,0)),C469))</f>
        <v>1 - Executive</v>
      </c>
      <c r="N469" t="s">
        <v>52</v>
      </c>
      <c r="O469" t="s">
        <v>41</v>
      </c>
      <c r="P469">
        <v>31</v>
      </c>
      <c r="Q469" t="s">
        <v>9</v>
      </c>
      <c r="R469" t="s">
        <v>9</v>
      </c>
      <c r="S469" t="s">
        <v>9</v>
      </c>
      <c r="T469" s="2">
        <v>41365</v>
      </c>
      <c r="U469">
        <v>7</v>
      </c>
      <c r="V469">
        <f t="shared" ca="1" si="7"/>
        <v>0.67110937027227269</v>
      </c>
    </row>
    <row r="470" spans="1:22">
      <c r="A470">
        <v>469</v>
      </c>
      <c r="B470" t="s">
        <v>1</v>
      </c>
      <c r="C470" t="s">
        <v>56</v>
      </c>
      <c r="D470" t="s">
        <v>52</v>
      </c>
      <c r="E470">
        <v>2</v>
      </c>
      <c r="F470" t="s">
        <v>53</v>
      </c>
      <c r="G470" t="s">
        <v>50</v>
      </c>
      <c r="H470" t="s">
        <v>7</v>
      </c>
      <c r="I470" t="s">
        <v>7</v>
      </c>
      <c r="J470" s="1" t="s">
        <v>39</v>
      </c>
      <c r="K470" t="s">
        <v>39</v>
      </c>
      <c r="L470">
        <v>2</v>
      </c>
      <c r="M470" t="str">
        <f>IF(D470="Y","",IF(N470="Y",INDEX(#REF!,MATCH(C470,#REF!,0)),C470))</f>
        <v>6 - Junior Officer</v>
      </c>
      <c r="N470" t="s">
        <v>52</v>
      </c>
      <c r="O470" t="s">
        <v>40</v>
      </c>
      <c r="P470">
        <v>23</v>
      </c>
      <c r="Q470" t="s">
        <v>20</v>
      </c>
      <c r="R470" t="s">
        <v>45</v>
      </c>
      <c r="S470" t="s">
        <v>45</v>
      </c>
      <c r="T470" s="2">
        <v>43191</v>
      </c>
      <c r="U470">
        <v>2</v>
      </c>
      <c r="V470">
        <f t="shared" ca="1" si="7"/>
        <v>0.66162370115755731</v>
      </c>
    </row>
    <row r="471" spans="1:22">
      <c r="A471">
        <v>470</v>
      </c>
      <c r="B471" t="s">
        <v>0</v>
      </c>
      <c r="C471" t="s">
        <v>56</v>
      </c>
      <c r="D471" t="s">
        <v>52</v>
      </c>
      <c r="E471">
        <v>2</v>
      </c>
      <c r="F471" t="s">
        <v>53</v>
      </c>
      <c r="G471" t="s">
        <v>50</v>
      </c>
      <c r="H471" t="s">
        <v>5</v>
      </c>
      <c r="I471" t="s">
        <v>5</v>
      </c>
      <c r="J471" s="1" t="s">
        <v>39</v>
      </c>
      <c r="K471" t="s">
        <v>39</v>
      </c>
      <c r="L471">
        <v>3</v>
      </c>
      <c r="M471" t="str">
        <f>IF(D471="Y","",IF(N471="Y",INDEX(#REF!,MATCH(C471,#REF!,0)),C471))</f>
        <v>6 - Junior Officer</v>
      </c>
      <c r="N471" t="s">
        <v>52</v>
      </c>
      <c r="O471" t="s">
        <v>40</v>
      </c>
      <c r="P471">
        <v>24</v>
      </c>
      <c r="Q471" t="s">
        <v>19</v>
      </c>
      <c r="R471" t="s">
        <v>45</v>
      </c>
      <c r="S471" t="s">
        <v>45</v>
      </c>
      <c r="T471" s="2">
        <v>42826</v>
      </c>
      <c r="U471">
        <v>3</v>
      </c>
      <c r="V471">
        <f t="shared" ca="1" si="7"/>
        <v>0.56076486722497121</v>
      </c>
    </row>
    <row r="472" spans="1:22">
      <c r="A472">
        <v>471</v>
      </c>
      <c r="B472" t="s">
        <v>1</v>
      </c>
      <c r="C472" t="s">
        <v>56</v>
      </c>
      <c r="D472" t="s">
        <v>52</v>
      </c>
      <c r="E472">
        <v>3</v>
      </c>
      <c r="F472" t="s">
        <v>53</v>
      </c>
      <c r="G472" t="s">
        <v>50</v>
      </c>
      <c r="H472" t="s">
        <v>6</v>
      </c>
      <c r="I472" t="s">
        <v>6</v>
      </c>
      <c r="J472" s="1" t="s">
        <v>39</v>
      </c>
      <c r="K472" t="s">
        <v>39</v>
      </c>
      <c r="L472">
        <v>2</v>
      </c>
      <c r="M472" t="str">
        <f>IF(D472="Y","",IF(N472="Y",INDEX(#REF!,MATCH(C472,#REF!,0)),C472))</f>
        <v>6 - Junior Officer</v>
      </c>
      <c r="N472" t="s">
        <v>52</v>
      </c>
      <c r="O472" t="s">
        <v>40</v>
      </c>
      <c r="P472">
        <v>24</v>
      </c>
      <c r="Q472" t="s">
        <v>20</v>
      </c>
      <c r="R472" t="s">
        <v>45</v>
      </c>
      <c r="S472" t="s">
        <v>45</v>
      </c>
      <c r="T472" s="2">
        <v>43191</v>
      </c>
      <c r="U472">
        <v>2</v>
      </c>
      <c r="V472">
        <f t="shared" ca="1" si="7"/>
        <v>0.96394910072456574</v>
      </c>
    </row>
    <row r="473" spans="1:22">
      <c r="A473">
        <v>472</v>
      </c>
      <c r="B473" t="s">
        <v>1</v>
      </c>
      <c r="C473" t="s">
        <v>56</v>
      </c>
      <c r="D473" t="s">
        <v>52</v>
      </c>
      <c r="E473">
        <v>2</v>
      </c>
      <c r="F473" t="s">
        <v>53</v>
      </c>
      <c r="G473" t="s">
        <v>50</v>
      </c>
      <c r="H473" t="s">
        <v>6</v>
      </c>
      <c r="I473" t="s">
        <v>6</v>
      </c>
      <c r="J473" s="1" t="s">
        <v>39</v>
      </c>
      <c r="K473" t="s">
        <v>39</v>
      </c>
      <c r="L473">
        <v>2</v>
      </c>
      <c r="M473" t="str">
        <f>IF(D473="Y","",IF(N473="Y",INDEX(#REF!,MATCH(C473,#REF!,0)),C473))</f>
        <v>6 - Junior Officer</v>
      </c>
      <c r="N473" t="s">
        <v>52</v>
      </c>
      <c r="O473" t="s">
        <v>40</v>
      </c>
      <c r="P473">
        <v>23</v>
      </c>
      <c r="Q473" t="s">
        <v>9</v>
      </c>
      <c r="R473" t="s">
        <v>9</v>
      </c>
      <c r="S473" t="s">
        <v>9</v>
      </c>
      <c r="T473" s="2">
        <v>43191</v>
      </c>
      <c r="U473">
        <v>2</v>
      </c>
      <c r="V473">
        <f t="shared" ca="1" si="7"/>
        <v>0.87258703311613994</v>
      </c>
    </row>
    <row r="474" spans="1:22">
      <c r="A474">
        <v>473</v>
      </c>
      <c r="B474" t="s">
        <v>0</v>
      </c>
      <c r="C474" t="s">
        <v>57</v>
      </c>
      <c r="D474" t="s">
        <v>52</v>
      </c>
      <c r="E474">
        <v>2</v>
      </c>
      <c r="F474" t="s">
        <v>53</v>
      </c>
      <c r="G474" t="s">
        <v>50</v>
      </c>
      <c r="H474" t="s">
        <v>5</v>
      </c>
      <c r="I474" t="s">
        <v>5</v>
      </c>
      <c r="J474" s="1" t="s">
        <v>39</v>
      </c>
      <c r="K474" t="s">
        <v>39</v>
      </c>
      <c r="L474">
        <v>3</v>
      </c>
      <c r="M474" t="str">
        <f>IF(D474="Y","",IF(N474="Y",INDEX(#REF!,MATCH(C474,#REF!,0)),C474))</f>
        <v>4 - Manager</v>
      </c>
      <c r="N474" t="s">
        <v>52</v>
      </c>
      <c r="O474" t="s">
        <v>42</v>
      </c>
      <c r="P474">
        <v>49</v>
      </c>
      <c r="Q474" t="s">
        <v>9</v>
      </c>
      <c r="R474" t="s">
        <v>9</v>
      </c>
      <c r="S474" t="s">
        <v>9</v>
      </c>
      <c r="T474" s="2">
        <v>41000</v>
      </c>
      <c r="U474">
        <v>8</v>
      </c>
      <c r="V474">
        <f t="shared" ca="1" si="7"/>
        <v>0.9799800974888403</v>
      </c>
    </row>
    <row r="475" spans="1:22">
      <c r="A475">
        <v>474</v>
      </c>
      <c r="B475" t="s">
        <v>1</v>
      </c>
      <c r="C475" t="s">
        <v>57</v>
      </c>
      <c r="D475" t="s">
        <v>52</v>
      </c>
      <c r="E475">
        <v>3</v>
      </c>
      <c r="F475" t="s">
        <v>53</v>
      </c>
      <c r="G475" t="s">
        <v>50</v>
      </c>
      <c r="H475" t="s">
        <v>7</v>
      </c>
      <c r="I475" t="s">
        <v>7</v>
      </c>
      <c r="J475" s="1" t="s">
        <v>39</v>
      </c>
      <c r="K475" t="s">
        <v>39</v>
      </c>
      <c r="L475">
        <v>3</v>
      </c>
      <c r="M475" t="str">
        <f>IF(D475="Y","",IF(N475="Y",INDEX(#REF!,MATCH(C475,#REF!,0)),C475))</f>
        <v>4 - Manager</v>
      </c>
      <c r="N475" t="s">
        <v>52</v>
      </c>
      <c r="O475" t="s">
        <v>41</v>
      </c>
      <c r="P475">
        <v>33</v>
      </c>
      <c r="Q475" t="s">
        <v>9</v>
      </c>
      <c r="R475" t="s">
        <v>9</v>
      </c>
      <c r="S475" t="s">
        <v>9</v>
      </c>
      <c r="T475" s="2">
        <v>41365</v>
      </c>
      <c r="U475">
        <v>7</v>
      </c>
      <c r="V475">
        <f t="shared" ca="1" si="7"/>
        <v>0.32554938283977564</v>
      </c>
    </row>
    <row r="476" spans="1:22">
      <c r="A476">
        <v>475</v>
      </c>
      <c r="B476" t="s">
        <v>0</v>
      </c>
      <c r="C476" t="s">
        <v>56</v>
      </c>
      <c r="D476" t="s">
        <v>52</v>
      </c>
      <c r="E476">
        <v>2</v>
      </c>
      <c r="F476" t="s">
        <v>53</v>
      </c>
      <c r="G476" t="s">
        <v>50</v>
      </c>
      <c r="H476" t="s">
        <v>7</v>
      </c>
      <c r="I476" t="s">
        <v>7</v>
      </c>
      <c r="J476" s="1">
        <v>0.7</v>
      </c>
      <c r="K476" t="s">
        <v>38</v>
      </c>
      <c r="L476">
        <v>3</v>
      </c>
      <c r="M476" t="str">
        <f>IF(D476="Y","",IF(N476="Y",INDEX(#REF!,MATCH(C476,#REF!,0)),C476))</f>
        <v>6 - Junior Officer</v>
      </c>
      <c r="N476" t="s">
        <v>52</v>
      </c>
      <c r="O476" t="s">
        <v>40</v>
      </c>
      <c r="P476">
        <v>25</v>
      </c>
      <c r="Q476" t="s">
        <v>20</v>
      </c>
      <c r="R476" t="s">
        <v>45</v>
      </c>
      <c r="S476" t="s">
        <v>45</v>
      </c>
      <c r="T476" s="2">
        <v>42826</v>
      </c>
      <c r="U476">
        <v>3</v>
      </c>
      <c r="V476">
        <f t="shared" ca="1" si="7"/>
        <v>0.18512070336094322</v>
      </c>
    </row>
    <row r="477" spans="1:22">
      <c r="A477">
        <v>476</v>
      </c>
      <c r="B477" t="s">
        <v>0</v>
      </c>
      <c r="C477" t="s">
        <v>56</v>
      </c>
      <c r="D477" t="s">
        <v>52</v>
      </c>
      <c r="E477">
        <v>3</v>
      </c>
      <c r="F477" t="s">
        <v>53</v>
      </c>
      <c r="G477" t="s">
        <v>50</v>
      </c>
      <c r="H477" t="s">
        <v>5</v>
      </c>
      <c r="I477" t="s">
        <v>5</v>
      </c>
      <c r="J477" s="1" t="s">
        <v>39</v>
      </c>
      <c r="K477" t="s">
        <v>39</v>
      </c>
      <c r="L477">
        <v>3</v>
      </c>
      <c r="M477" t="str">
        <f>IF(D477="Y","",IF(N477="Y",INDEX(#REF!,MATCH(C477,#REF!,0)),C477))</f>
        <v>6 - Junior Officer</v>
      </c>
      <c r="N477" t="s">
        <v>52</v>
      </c>
      <c r="O477" t="s">
        <v>40</v>
      </c>
      <c r="P477">
        <v>20</v>
      </c>
      <c r="Q477" t="s">
        <v>19</v>
      </c>
      <c r="R477" t="s">
        <v>45</v>
      </c>
      <c r="S477" t="s">
        <v>45</v>
      </c>
      <c r="T477" s="2">
        <v>42826</v>
      </c>
      <c r="U477">
        <v>3</v>
      </c>
      <c r="V477">
        <f t="shared" ca="1" si="7"/>
        <v>0.93312466142971506</v>
      </c>
    </row>
    <row r="478" spans="1:22">
      <c r="A478">
        <v>477</v>
      </c>
      <c r="B478" t="s">
        <v>0</v>
      </c>
      <c r="C478" t="s">
        <v>59</v>
      </c>
      <c r="D478" t="s">
        <v>52</v>
      </c>
      <c r="E478">
        <v>2</v>
      </c>
      <c r="F478" t="s">
        <v>53</v>
      </c>
      <c r="G478" t="s">
        <v>50</v>
      </c>
      <c r="H478" t="s">
        <v>6</v>
      </c>
      <c r="I478" t="s">
        <v>6</v>
      </c>
      <c r="J478" s="1" t="s">
        <v>39</v>
      </c>
      <c r="K478" t="s">
        <v>39</v>
      </c>
      <c r="L478">
        <v>6</v>
      </c>
      <c r="M478" t="str">
        <f>IF(D478="Y","",IF(N478="Y",INDEX(#REF!,MATCH(C478,#REF!,0)),C478))</f>
        <v>2 - Director</v>
      </c>
      <c r="N478" t="s">
        <v>52</v>
      </c>
      <c r="O478" t="s">
        <v>42</v>
      </c>
      <c r="P478">
        <v>44</v>
      </c>
      <c r="Q478" t="s">
        <v>9</v>
      </c>
      <c r="R478" t="s">
        <v>9</v>
      </c>
      <c r="S478" t="s">
        <v>9</v>
      </c>
      <c r="T478" s="2">
        <v>41730</v>
      </c>
      <c r="U478">
        <v>6</v>
      </c>
      <c r="V478">
        <f t="shared" ca="1" si="7"/>
        <v>0.22176493539019893</v>
      </c>
    </row>
    <row r="479" spans="1:22">
      <c r="A479">
        <v>478</v>
      </c>
      <c r="B479" t="s">
        <v>0</v>
      </c>
      <c r="C479" t="s">
        <v>56</v>
      </c>
      <c r="D479" t="s">
        <v>50</v>
      </c>
      <c r="F479" t="s">
        <v>53</v>
      </c>
      <c r="G479" t="s">
        <v>52</v>
      </c>
      <c r="H479" t="s">
        <v>5</v>
      </c>
      <c r="I479" t="s">
        <v>5</v>
      </c>
      <c r="J479" s="1" t="s">
        <v>39</v>
      </c>
      <c r="K479" t="s">
        <v>39</v>
      </c>
      <c r="L479">
        <v>0</v>
      </c>
      <c r="M479" t="str">
        <f>IF(D479="Y","",IF(N479="Y",INDEX(#REF!,MATCH(C479,#REF!,0)),C479))</f>
        <v/>
      </c>
      <c r="N479" t="s">
        <v>52</v>
      </c>
      <c r="O479" t="s">
        <v>40</v>
      </c>
      <c r="P479">
        <v>25</v>
      </c>
      <c r="Q479" t="s">
        <v>9</v>
      </c>
      <c r="R479" t="s">
        <v>9</v>
      </c>
      <c r="S479" t="s">
        <v>9</v>
      </c>
      <c r="T479" s="2">
        <v>43922</v>
      </c>
      <c r="U479">
        <v>0</v>
      </c>
      <c r="V479">
        <f t="shared" ca="1" si="7"/>
        <v>0.8735302612847563</v>
      </c>
    </row>
    <row r="480" spans="1:22">
      <c r="A480">
        <v>479</v>
      </c>
      <c r="B480" t="s">
        <v>1</v>
      </c>
      <c r="C480" s="3" t="s">
        <v>56</v>
      </c>
      <c r="D480" t="s">
        <v>52</v>
      </c>
      <c r="E480">
        <v>4</v>
      </c>
      <c r="F480" t="s">
        <v>51</v>
      </c>
      <c r="G480" t="s">
        <v>50</v>
      </c>
      <c r="H480" t="s">
        <v>5</v>
      </c>
      <c r="I480" t="s">
        <v>5</v>
      </c>
      <c r="J480" s="1" t="s">
        <v>39</v>
      </c>
      <c r="K480" t="s">
        <v>39</v>
      </c>
      <c r="L480">
        <v>3</v>
      </c>
      <c r="M480" t="str">
        <f>IF(D480="Y","",IF(N480="Y",INDEX(#REF!,MATCH(C480,#REF!,0)),C480))</f>
        <v>6 - Junior Officer</v>
      </c>
      <c r="N480" t="s">
        <v>52</v>
      </c>
      <c r="O480" t="s">
        <v>43</v>
      </c>
      <c r="P480">
        <v>53</v>
      </c>
      <c r="Q480" t="s">
        <v>9</v>
      </c>
      <c r="R480" t="s">
        <v>9</v>
      </c>
      <c r="S480" t="s">
        <v>9</v>
      </c>
      <c r="T480" s="2">
        <v>42826</v>
      </c>
      <c r="U480">
        <v>3</v>
      </c>
      <c r="V480">
        <f t="shared" ca="1" si="7"/>
        <v>5.7796450982181891E-2</v>
      </c>
    </row>
    <row r="481" spans="1:22">
      <c r="A481">
        <v>480</v>
      </c>
      <c r="B481" t="s">
        <v>1</v>
      </c>
      <c r="C481" t="s">
        <v>58</v>
      </c>
      <c r="D481" t="s">
        <v>50</v>
      </c>
      <c r="F481" t="s">
        <v>53</v>
      </c>
      <c r="G481" t="s">
        <v>52</v>
      </c>
      <c r="H481" t="s">
        <v>7</v>
      </c>
      <c r="I481" t="s">
        <v>7</v>
      </c>
      <c r="J481" s="1" t="s">
        <v>39</v>
      </c>
      <c r="K481" t="s">
        <v>39</v>
      </c>
      <c r="L481">
        <v>0</v>
      </c>
      <c r="M481" t="str">
        <f>IF(D481="Y","",IF(N481="Y",INDEX(#REF!,MATCH(C481,#REF!,0)),C481))</f>
        <v/>
      </c>
      <c r="N481" t="s">
        <v>52</v>
      </c>
      <c r="O481" t="s">
        <v>41</v>
      </c>
      <c r="P481">
        <v>38</v>
      </c>
      <c r="Q481" t="s">
        <v>9</v>
      </c>
      <c r="R481" t="s">
        <v>9</v>
      </c>
      <c r="S481" t="s">
        <v>9</v>
      </c>
      <c r="T481" s="2">
        <v>43922</v>
      </c>
      <c r="U481">
        <v>0</v>
      </c>
      <c r="V481">
        <f t="shared" ca="1" si="7"/>
        <v>0.96477057019686419</v>
      </c>
    </row>
    <row r="482" spans="1:22">
      <c r="A482">
        <v>481</v>
      </c>
      <c r="B482" t="s">
        <v>1</v>
      </c>
      <c r="C482" t="s">
        <v>58</v>
      </c>
      <c r="D482" t="s">
        <v>52</v>
      </c>
      <c r="E482">
        <v>2</v>
      </c>
      <c r="F482" t="s">
        <v>53</v>
      </c>
      <c r="G482" t="s">
        <v>50</v>
      </c>
      <c r="H482" t="s">
        <v>6</v>
      </c>
      <c r="I482" t="s">
        <v>6</v>
      </c>
      <c r="J482" s="1" t="s">
        <v>39</v>
      </c>
      <c r="K482" t="s">
        <v>39</v>
      </c>
      <c r="L482">
        <v>2</v>
      </c>
      <c r="M482" t="str">
        <f>IF(D482="Y","",IF(N482="Y",INDEX(#REF!,MATCH(C482,#REF!,0)),C482))</f>
        <v>3 - Senior Manager</v>
      </c>
      <c r="N482" t="s">
        <v>52</v>
      </c>
      <c r="O482" t="s">
        <v>41</v>
      </c>
      <c r="P482">
        <v>37</v>
      </c>
      <c r="Q482" t="s">
        <v>15</v>
      </c>
      <c r="R482" t="s">
        <v>45</v>
      </c>
      <c r="S482" t="s">
        <v>45</v>
      </c>
      <c r="T482" s="2">
        <v>42461</v>
      </c>
      <c r="U482">
        <v>4</v>
      </c>
      <c r="V482">
        <f t="shared" ca="1" si="7"/>
        <v>0.25658930738599006</v>
      </c>
    </row>
    <row r="483" spans="1:22">
      <c r="A483">
        <v>482</v>
      </c>
      <c r="B483" t="s">
        <v>1</v>
      </c>
      <c r="C483" t="s">
        <v>58</v>
      </c>
      <c r="D483" t="s">
        <v>52</v>
      </c>
      <c r="E483">
        <v>3</v>
      </c>
      <c r="F483" t="s">
        <v>53</v>
      </c>
      <c r="G483" t="s">
        <v>50</v>
      </c>
      <c r="H483" t="s">
        <v>5</v>
      </c>
      <c r="I483" t="s">
        <v>5</v>
      </c>
      <c r="J483" s="1" t="s">
        <v>39</v>
      </c>
      <c r="K483" t="s">
        <v>39</v>
      </c>
      <c r="L483">
        <v>3</v>
      </c>
      <c r="M483" t="str">
        <f>IF(D483="Y","",IF(N483="Y",INDEX(#REF!,MATCH(C483,#REF!,0)),C483))</f>
        <v>3 - Senior Manager</v>
      </c>
      <c r="N483" t="s">
        <v>52</v>
      </c>
      <c r="O483" t="s">
        <v>41</v>
      </c>
      <c r="P483">
        <v>39</v>
      </c>
      <c r="Q483" t="s">
        <v>9</v>
      </c>
      <c r="R483" t="s">
        <v>9</v>
      </c>
      <c r="S483" t="s">
        <v>9</v>
      </c>
      <c r="T483" s="2">
        <v>40634</v>
      </c>
      <c r="U483">
        <v>9</v>
      </c>
      <c r="V483">
        <f t="shared" ca="1" si="7"/>
        <v>0.74908500475487549</v>
      </c>
    </row>
    <row r="484" spans="1:22">
      <c r="A484">
        <v>483</v>
      </c>
      <c r="B484" t="s">
        <v>0</v>
      </c>
      <c r="C484" s="3" t="s">
        <v>56</v>
      </c>
      <c r="D484" t="s">
        <v>52</v>
      </c>
      <c r="E484">
        <v>3</v>
      </c>
      <c r="F484" t="s">
        <v>51</v>
      </c>
      <c r="G484" t="s">
        <v>50</v>
      </c>
      <c r="H484" t="s">
        <v>5</v>
      </c>
      <c r="I484" t="s">
        <v>5</v>
      </c>
      <c r="J484" s="1">
        <v>0.5</v>
      </c>
      <c r="K484" t="s">
        <v>38</v>
      </c>
      <c r="L484">
        <v>4</v>
      </c>
      <c r="M484" t="str">
        <f>IF(D484="Y","",IF(N484="Y",INDEX(#REF!,MATCH(C484,#REF!,0)),C484))</f>
        <v>6 - Junior Officer</v>
      </c>
      <c r="N484" t="s">
        <v>52</v>
      </c>
      <c r="O484" t="s">
        <v>41</v>
      </c>
      <c r="P484">
        <v>36</v>
      </c>
      <c r="Q484" t="s">
        <v>15</v>
      </c>
      <c r="R484" t="s">
        <v>45</v>
      </c>
      <c r="S484" t="s">
        <v>45</v>
      </c>
      <c r="T484" s="2">
        <v>42461</v>
      </c>
      <c r="U484">
        <v>4</v>
      </c>
      <c r="V484">
        <f t="shared" ca="1" si="7"/>
        <v>0.50883252511182175</v>
      </c>
    </row>
    <row r="485" spans="1:22">
      <c r="A485">
        <v>484</v>
      </c>
      <c r="B485" t="s">
        <v>1</v>
      </c>
      <c r="C485" t="s">
        <v>60</v>
      </c>
      <c r="D485" t="s">
        <v>50</v>
      </c>
      <c r="F485" t="s">
        <v>53</v>
      </c>
      <c r="G485" t="s">
        <v>52</v>
      </c>
      <c r="H485" t="s">
        <v>8</v>
      </c>
      <c r="I485" t="s">
        <v>8</v>
      </c>
      <c r="J485" s="1" t="s">
        <v>39</v>
      </c>
      <c r="K485" t="s">
        <v>39</v>
      </c>
      <c r="L485">
        <v>0</v>
      </c>
      <c r="M485" t="str">
        <f>IF(D485="Y","",IF(N485="Y",INDEX(#REF!,MATCH(C485,#REF!,0)),C485))</f>
        <v/>
      </c>
      <c r="N485" t="s">
        <v>52</v>
      </c>
      <c r="O485" t="s">
        <v>44</v>
      </c>
      <c r="P485">
        <v>61</v>
      </c>
      <c r="Q485" t="s">
        <v>14</v>
      </c>
      <c r="R485" t="s">
        <v>47</v>
      </c>
      <c r="S485" t="s">
        <v>49</v>
      </c>
      <c r="T485" s="2">
        <v>43922</v>
      </c>
      <c r="U485">
        <v>0</v>
      </c>
      <c r="V485">
        <f t="shared" ca="1" si="7"/>
        <v>0.19008527750899673</v>
      </c>
    </row>
    <row r="486" spans="1:22">
      <c r="A486">
        <v>485</v>
      </c>
      <c r="B486" t="s">
        <v>1</v>
      </c>
      <c r="C486" t="s">
        <v>57</v>
      </c>
      <c r="D486" t="s">
        <v>52</v>
      </c>
      <c r="E486">
        <v>3</v>
      </c>
      <c r="F486" t="s">
        <v>53</v>
      </c>
      <c r="G486" t="s">
        <v>50</v>
      </c>
      <c r="H486" t="s">
        <v>5</v>
      </c>
      <c r="I486" t="s">
        <v>5</v>
      </c>
      <c r="J486" s="1" t="s">
        <v>39</v>
      </c>
      <c r="K486" t="s">
        <v>39</v>
      </c>
      <c r="L486">
        <v>1</v>
      </c>
      <c r="M486" t="e">
        <f>IF(D486="Y","",IF(N486="Y",INDEX(#REF!,MATCH(C486,#REF!,0)),C486))</f>
        <v>#REF!</v>
      </c>
      <c r="N486" t="s">
        <v>50</v>
      </c>
      <c r="O486" t="s">
        <v>41</v>
      </c>
      <c r="P486">
        <v>34</v>
      </c>
      <c r="Q486" t="s">
        <v>19</v>
      </c>
      <c r="R486" t="s">
        <v>45</v>
      </c>
      <c r="S486" t="s">
        <v>45</v>
      </c>
      <c r="T486" s="2">
        <v>41365</v>
      </c>
      <c r="U486">
        <v>7</v>
      </c>
      <c r="V486">
        <f t="shared" ca="1" si="7"/>
        <v>0.5728122446283278</v>
      </c>
    </row>
    <row r="487" spans="1:22">
      <c r="A487">
        <v>486</v>
      </c>
      <c r="B487" t="s">
        <v>0</v>
      </c>
      <c r="C487" s="3" t="s">
        <v>56</v>
      </c>
      <c r="D487" t="s">
        <v>52</v>
      </c>
      <c r="E487">
        <v>2</v>
      </c>
      <c r="F487" t="s">
        <v>51</v>
      </c>
      <c r="G487" t="s">
        <v>50</v>
      </c>
      <c r="H487" t="s">
        <v>5</v>
      </c>
      <c r="I487" t="s">
        <v>5</v>
      </c>
      <c r="J487" s="1" t="s">
        <v>39</v>
      </c>
      <c r="K487" t="s">
        <v>39</v>
      </c>
      <c r="L487">
        <v>2</v>
      </c>
      <c r="M487" t="str">
        <f>IF(D487="Y","",IF(N487="Y",INDEX(#REF!,MATCH(C487,#REF!,0)),C487))</f>
        <v>6 - Junior Officer</v>
      </c>
      <c r="N487" t="s">
        <v>52</v>
      </c>
      <c r="O487" t="s">
        <v>42</v>
      </c>
      <c r="P487">
        <v>47</v>
      </c>
      <c r="Q487" t="s">
        <v>19</v>
      </c>
      <c r="R487" t="s">
        <v>45</v>
      </c>
      <c r="S487" t="s">
        <v>45</v>
      </c>
      <c r="T487" s="2">
        <v>43191</v>
      </c>
      <c r="U487">
        <v>2</v>
      </c>
      <c r="V487">
        <f t="shared" ca="1" si="7"/>
        <v>0.45434503273228266</v>
      </c>
    </row>
    <row r="488" spans="1:22">
      <c r="A488">
        <v>487</v>
      </c>
      <c r="B488" t="s">
        <v>0</v>
      </c>
      <c r="C488" t="s">
        <v>57</v>
      </c>
      <c r="D488" t="s">
        <v>52</v>
      </c>
      <c r="E488">
        <v>3</v>
      </c>
      <c r="F488" t="s">
        <v>53</v>
      </c>
      <c r="G488" t="s">
        <v>50</v>
      </c>
      <c r="H488" t="s">
        <v>6</v>
      </c>
      <c r="I488" t="s">
        <v>6</v>
      </c>
      <c r="J488" s="1" t="s">
        <v>39</v>
      </c>
      <c r="K488" t="s">
        <v>39</v>
      </c>
      <c r="L488">
        <v>1</v>
      </c>
      <c r="M488" t="e">
        <f>IF(D488="Y","",IF(N488="Y",INDEX(#REF!,MATCH(C488,#REF!,0)),C488))</f>
        <v>#REF!</v>
      </c>
      <c r="N488" t="s">
        <v>50</v>
      </c>
      <c r="O488" t="s">
        <v>41</v>
      </c>
      <c r="P488">
        <v>39</v>
      </c>
      <c r="Q488" t="s">
        <v>15</v>
      </c>
      <c r="R488" t="s">
        <v>45</v>
      </c>
      <c r="S488" t="s">
        <v>45</v>
      </c>
      <c r="T488" s="2">
        <v>42095</v>
      </c>
      <c r="U488">
        <v>5</v>
      </c>
      <c r="V488">
        <f t="shared" ca="1" si="7"/>
        <v>0.3698012060383532</v>
      </c>
    </row>
    <row r="489" spans="1:22">
      <c r="A489">
        <v>488</v>
      </c>
      <c r="B489" t="s">
        <v>0</v>
      </c>
      <c r="C489" t="s">
        <v>56</v>
      </c>
      <c r="D489" t="s">
        <v>52</v>
      </c>
      <c r="E489">
        <v>2</v>
      </c>
      <c r="F489" t="s">
        <v>53</v>
      </c>
      <c r="G489" t="s">
        <v>50</v>
      </c>
      <c r="H489" t="s">
        <v>7</v>
      </c>
      <c r="I489" t="s">
        <v>7</v>
      </c>
      <c r="J489" s="1" t="s">
        <v>39</v>
      </c>
      <c r="K489" t="s">
        <v>39</v>
      </c>
      <c r="L489">
        <v>1</v>
      </c>
      <c r="M489" t="str">
        <f>IF(D489="Y","",IF(N489="Y",INDEX(#REF!,MATCH(C489,#REF!,0)),C489))</f>
        <v>6 - Junior Officer</v>
      </c>
      <c r="N489" t="s">
        <v>52</v>
      </c>
      <c r="O489" t="s">
        <v>40</v>
      </c>
      <c r="P489">
        <v>26</v>
      </c>
      <c r="Q489" t="s">
        <v>9</v>
      </c>
      <c r="R489" t="s">
        <v>9</v>
      </c>
      <c r="S489" t="s">
        <v>9</v>
      </c>
      <c r="T489" s="2">
        <v>43556</v>
      </c>
      <c r="U489">
        <v>1</v>
      </c>
      <c r="V489">
        <f t="shared" ca="1" si="7"/>
        <v>0.7112477548184063</v>
      </c>
    </row>
    <row r="490" spans="1:22">
      <c r="A490">
        <v>489</v>
      </c>
      <c r="B490" t="s">
        <v>1</v>
      </c>
      <c r="C490" t="s">
        <v>57</v>
      </c>
      <c r="D490" t="s">
        <v>50</v>
      </c>
      <c r="F490" t="s">
        <v>53</v>
      </c>
      <c r="G490" t="s">
        <v>52</v>
      </c>
      <c r="H490" t="s">
        <v>5</v>
      </c>
      <c r="I490" t="s">
        <v>5</v>
      </c>
      <c r="J490" s="1" t="s">
        <v>39</v>
      </c>
      <c r="K490" t="s">
        <v>39</v>
      </c>
      <c r="L490">
        <v>0</v>
      </c>
      <c r="M490" t="str">
        <f>IF(D490="Y","",IF(N490="Y",INDEX(#REF!,MATCH(C490,#REF!,0)),C490))</f>
        <v/>
      </c>
      <c r="N490" t="s">
        <v>52</v>
      </c>
      <c r="O490" t="s">
        <v>41</v>
      </c>
      <c r="P490">
        <v>30</v>
      </c>
      <c r="Q490" t="s">
        <v>9</v>
      </c>
      <c r="R490" t="s">
        <v>9</v>
      </c>
      <c r="S490" t="s">
        <v>9</v>
      </c>
      <c r="T490" s="2">
        <v>43922</v>
      </c>
      <c r="U490">
        <v>0</v>
      </c>
      <c r="V490">
        <f t="shared" ca="1" si="7"/>
        <v>0.59818492923509647</v>
      </c>
    </row>
    <row r="491" spans="1:22">
      <c r="A491">
        <v>490</v>
      </c>
      <c r="B491" t="s">
        <v>1</v>
      </c>
      <c r="C491" t="s">
        <v>58</v>
      </c>
      <c r="D491" t="s">
        <v>50</v>
      </c>
      <c r="F491" t="s">
        <v>53</v>
      </c>
      <c r="G491" t="s">
        <v>52</v>
      </c>
      <c r="H491" t="s">
        <v>3</v>
      </c>
      <c r="I491" t="s">
        <v>3</v>
      </c>
      <c r="J491" s="1" t="s">
        <v>39</v>
      </c>
      <c r="K491" t="s">
        <v>39</v>
      </c>
      <c r="L491">
        <v>0</v>
      </c>
      <c r="M491" t="str">
        <f>IF(D491="Y","",IF(N491="Y",INDEX(#REF!,MATCH(C491,#REF!,0)),C491))</f>
        <v/>
      </c>
      <c r="N491" t="s">
        <v>52</v>
      </c>
      <c r="O491" t="s">
        <v>41</v>
      </c>
      <c r="P491">
        <v>33</v>
      </c>
      <c r="Q491" t="s">
        <v>9</v>
      </c>
      <c r="R491" t="s">
        <v>9</v>
      </c>
      <c r="S491" t="s">
        <v>9</v>
      </c>
      <c r="T491" s="2">
        <v>43922</v>
      </c>
      <c r="U491">
        <v>0</v>
      </c>
      <c r="V491">
        <f t="shared" ca="1" si="7"/>
        <v>0.76455666145609213</v>
      </c>
    </row>
    <row r="492" spans="1:22">
      <c r="A492">
        <v>491</v>
      </c>
      <c r="B492" t="s">
        <v>0</v>
      </c>
      <c r="C492" t="s">
        <v>61</v>
      </c>
      <c r="D492" t="s">
        <v>50</v>
      </c>
      <c r="F492" t="s">
        <v>53</v>
      </c>
      <c r="G492" t="s">
        <v>52</v>
      </c>
      <c r="H492" t="s">
        <v>6</v>
      </c>
      <c r="I492" t="s">
        <v>6</v>
      </c>
      <c r="J492" s="1" t="s">
        <v>39</v>
      </c>
      <c r="K492" t="s">
        <v>39</v>
      </c>
      <c r="L492">
        <v>0</v>
      </c>
      <c r="M492" t="str">
        <f>IF(D492="Y","",IF(N492="Y",INDEX(#REF!,MATCH(C492,#REF!,0)),C492))</f>
        <v/>
      </c>
      <c r="N492" t="s">
        <v>52</v>
      </c>
      <c r="O492" t="s">
        <v>41</v>
      </c>
      <c r="P492">
        <v>33</v>
      </c>
      <c r="Q492" t="s">
        <v>25</v>
      </c>
      <c r="R492" t="s">
        <v>45</v>
      </c>
      <c r="S492" t="s">
        <v>45</v>
      </c>
      <c r="T492" s="2">
        <v>43922</v>
      </c>
      <c r="U492">
        <v>0</v>
      </c>
      <c r="V492">
        <f t="shared" ca="1" si="7"/>
        <v>0.90310185907698615</v>
      </c>
    </row>
    <row r="493" spans="1:22">
      <c r="A493">
        <v>492</v>
      </c>
      <c r="B493" t="s">
        <v>1</v>
      </c>
      <c r="C493" t="s">
        <v>59</v>
      </c>
      <c r="D493" t="s">
        <v>52</v>
      </c>
      <c r="E493">
        <v>1</v>
      </c>
      <c r="F493" t="s">
        <v>53</v>
      </c>
      <c r="G493" t="s">
        <v>50</v>
      </c>
      <c r="H493" t="s">
        <v>7</v>
      </c>
      <c r="I493" t="s">
        <v>7</v>
      </c>
      <c r="J493" s="1" t="s">
        <v>39</v>
      </c>
      <c r="K493" t="s">
        <v>39</v>
      </c>
      <c r="L493">
        <v>3</v>
      </c>
      <c r="M493" t="str">
        <f>IF(D493="Y","",IF(N493="Y",INDEX(#REF!,MATCH(C493,#REF!,0)),C493))</f>
        <v>2 - Director</v>
      </c>
      <c r="N493" t="s">
        <v>52</v>
      </c>
      <c r="O493" t="s">
        <v>42</v>
      </c>
      <c r="P493">
        <v>42</v>
      </c>
      <c r="Q493" t="s">
        <v>9</v>
      </c>
      <c r="R493" t="s">
        <v>9</v>
      </c>
      <c r="S493" t="s">
        <v>9</v>
      </c>
      <c r="T493" s="2">
        <v>41000</v>
      </c>
      <c r="U493">
        <v>8</v>
      </c>
      <c r="V493">
        <f t="shared" ca="1" si="7"/>
        <v>0.707384794971055</v>
      </c>
    </row>
    <row r="494" spans="1:22">
      <c r="A494">
        <v>493</v>
      </c>
      <c r="B494" t="s">
        <v>1</v>
      </c>
      <c r="C494" t="s">
        <v>57</v>
      </c>
      <c r="D494" t="s">
        <v>52</v>
      </c>
      <c r="E494">
        <v>1</v>
      </c>
      <c r="F494" t="s">
        <v>53</v>
      </c>
      <c r="G494" t="s">
        <v>50</v>
      </c>
      <c r="H494" t="s">
        <v>7</v>
      </c>
      <c r="I494" t="s">
        <v>7</v>
      </c>
      <c r="J494" s="1" t="s">
        <v>39</v>
      </c>
      <c r="K494" t="s">
        <v>39</v>
      </c>
      <c r="L494">
        <v>2</v>
      </c>
      <c r="M494" t="str">
        <f>IF(D494="Y","",IF(N494="Y",INDEX(#REF!,MATCH(C494,#REF!,0)),C494))</f>
        <v>4 - Manager</v>
      </c>
      <c r="N494" t="s">
        <v>52</v>
      </c>
      <c r="O494" t="s">
        <v>41</v>
      </c>
      <c r="P494">
        <v>33</v>
      </c>
      <c r="Q494" t="s">
        <v>20</v>
      </c>
      <c r="R494" t="s">
        <v>45</v>
      </c>
      <c r="S494" t="s">
        <v>45</v>
      </c>
      <c r="T494" s="2">
        <v>42461</v>
      </c>
      <c r="U494">
        <v>4</v>
      </c>
      <c r="V494">
        <f t="shared" ca="1" si="7"/>
        <v>0.52246390707786994</v>
      </c>
    </row>
    <row r="495" spans="1:22">
      <c r="A495">
        <v>494</v>
      </c>
      <c r="B495" t="s">
        <v>0</v>
      </c>
      <c r="C495" t="s">
        <v>56</v>
      </c>
      <c r="D495" t="s">
        <v>52</v>
      </c>
      <c r="E495">
        <v>4</v>
      </c>
      <c r="F495" t="s">
        <v>53</v>
      </c>
      <c r="G495" t="s">
        <v>50</v>
      </c>
      <c r="H495" t="s">
        <v>7</v>
      </c>
      <c r="I495" t="s">
        <v>7</v>
      </c>
      <c r="J495" s="1" t="s">
        <v>39</v>
      </c>
      <c r="K495" t="s">
        <v>39</v>
      </c>
      <c r="L495">
        <v>3</v>
      </c>
      <c r="M495" t="str">
        <f>IF(D495="Y","",IF(N495="Y",INDEX(#REF!,MATCH(C495,#REF!,0)),C495))</f>
        <v>6 - Junior Officer</v>
      </c>
      <c r="N495" t="s">
        <v>52</v>
      </c>
      <c r="O495" t="s">
        <v>40</v>
      </c>
      <c r="P495">
        <v>27</v>
      </c>
      <c r="Q495" t="s">
        <v>10</v>
      </c>
      <c r="R495" t="s">
        <v>45</v>
      </c>
      <c r="S495" t="s">
        <v>45</v>
      </c>
      <c r="T495" s="2">
        <v>42826</v>
      </c>
      <c r="U495">
        <v>3</v>
      </c>
      <c r="V495">
        <f t="shared" ca="1" si="7"/>
        <v>0.37441557519117608</v>
      </c>
    </row>
    <row r="496" spans="1:22">
      <c r="A496">
        <v>495</v>
      </c>
      <c r="B496" t="s">
        <v>0</v>
      </c>
      <c r="C496" t="s">
        <v>56</v>
      </c>
      <c r="D496" t="s">
        <v>52</v>
      </c>
      <c r="E496">
        <v>2</v>
      </c>
      <c r="F496" t="s">
        <v>53</v>
      </c>
      <c r="G496" t="s">
        <v>50</v>
      </c>
      <c r="H496" t="s">
        <v>5</v>
      </c>
      <c r="I496" t="s">
        <v>5</v>
      </c>
      <c r="J496" s="1" t="s">
        <v>39</v>
      </c>
      <c r="K496" t="s">
        <v>39</v>
      </c>
      <c r="L496">
        <v>3</v>
      </c>
      <c r="M496" t="str">
        <f>IF(D496="Y","",IF(N496="Y",INDEX(#REF!,MATCH(C496,#REF!,0)),C496))</f>
        <v>6 - Junior Officer</v>
      </c>
      <c r="N496" t="s">
        <v>52</v>
      </c>
      <c r="O496" t="s">
        <v>40</v>
      </c>
      <c r="P496">
        <v>22</v>
      </c>
      <c r="Q496" t="s">
        <v>9</v>
      </c>
      <c r="R496" t="s">
        <v>9</v>
      </c>
      <c r="S496" t="s">
        <v>9</v>
      </c>
      <c r="T496" s="2">
        <v>42826</v>
      </c>
      <c r="U496">
        <v>3</v>
      </c>
      <c r="V496">
        <f t="shared" ca="1" si="7"/>
        <v>0.33673710889108943</v>
      </c>
    </row>
    <row r="497" spans="1:22">
      <c r="A497">
        <v>496</v>
      </c>
      <c r="B497" t="s">
        <v>1</v>
      </c>
      <c r="C497" t="s">
        <v>56</v>
      </c>
      <c r="D497" t="s">
        <v>52</v>
      </c>
      <c r="E497">
        <v>4</v>
      </c>
      <c r="F497" t="s">
        <v>53</v>
      </c>
      <c r="G497" t="s">
        <v>50</v>
      </c>
      <c r="H497" t="s">
        <v>7</v>
      </c>
      <c r="I497" t="s">
        <v>7</v>
      </c>
      <c r="J497" s="1" t="s">
        <v>39</v>
      </c>
      <c r="K497" t="s">
        <v>39</v>
      </c>
      <c r="L497">
        <v>3</v>
      </c>
      <c r="M497" t="str">
        <f>IF(D497="Y","",IF(N497="Y",INDEX(#REF!,MATCH(C497,#REF!,0)),C497))</f>
        <v>6 - Junior Officer</v>
      </c>
      <c r="N497" t="s">
        <v>52</v>
      </c>
      <c r="O497" t="s">
        <v>40</v>
      </c>
      <c r="P497">
        <v>25</v>
      </c>
      <c r="Q497" t="s">
        <v>19</v>
      </c>
      <c r="R497" t="s">
        <v>45</v>
      </c>
      <c r="S497" t="s">
        <v>45</v>
      </c>
      <c r="T497" s="2">
        <v>42826</v>
      </c>
      <c r="U497">
        <v>3</v>
      </c>
      <c r="V497">
        <f t="shared" ca="1" si="7"/>
        <v>0.69976083944851974</v>
      </c>
    </row>
    <row r="498" spans="1:22">
      <c r="A498">
        <v>497</v>
      </c>
      <c r="B498" t="s">
        <v>0</v>
      </c>
      <c r="C498" t="s">
        <v>61</v>
      </c>
      <c r="D498" t="s">
        <v>52</v>
      </c>
      <c r="E498">
        <v>2</v>
      </c>
      <c r="F498" t="s">
        <v>53</v>
      </c>
      <c r="G498" t="s">
        <v>50</v>
      </c>
      <c r="H498" t="s">
        <v>5</v>
      </c>
      <c r="I498" t="s">
        <v>5</v>
      </c>
      <c r="J498" s="1">
        <v>0.9</v>
      </c>
      <c r="K498" t="s">
        <v>38</v>
      </c>
      <c r="L498">
        <v>2</v>
      </c>
      <c r="M498" t="str">
        <f>IF(D498="Y","",IF(N498="Y",INDEX(#REF!,MATCH(C498,#REF!,0)),C498))</f>
        <v>5 - Senior Officer</v>
      </c>
      <c r="N498" t="s">
        <v>52</v>
      </c>
      <c r="O498" t="s">
        <v>41</v>
      </c>
      <c r="P498">
        <v>32</v>
      </c>
      <c r="Q498" t="s">
        <v>28</v>
      </c>
      <c r="R498" t="s">
        <v>45</v>
      </c>
      <c r="S498" t="s">
        <v>45</v>
      </c>
      <c r="T498" s="2">
        <v>40634</v>
      </c>
      <c r="U498">
        <v>9</v>
      </c>
      <c r="V498">
        <f t="shared" ca="1" si="7"/>
        <v>0.88857795387201477</v>
      </c>
    </row>
    <row r="499" spans="1:22">
      <c r="A499">
        <v>498</v>
      </c>
      <c r="B499" t="s">
        <v>1</v>
      </c>
      <c r="C499" t="s">
        <v>56</v>
      </c>
      <c r="D499" t="s">
        <v>52</v>
      </c>
      <c r="E499">
        <v>2</v>
      </c>
      <c r="F499" t="s">
        <v>53</v>
      </c>
      <c r="G499" t="s">
        <v>50</v>
      </c>
      <c r="H499" t="s">
        <v>7</v>
      </c>
      <c r="I499" t="s">
        <v>7</v>
      </c>
      <c r="J499" s="1" t="s">
        <v>39</v>
      </c>
      <c r="K499" t="s">
        <v>39</v>
      </c>
      <c r="L499">
        <v>2</v>
      </c>
      <c r="M499" t="str">
        <f>IF(D499="Y","",IF(N499="Y",INDEX(#REF!,MATCH(C499,#REF!,0)),C499))</f>
        <v>6 - Junior Officer</v>
      </c>
      <c r="N499" t="s">
        <v>52</v>
      </c>
      <c r="O499" t="s">
        <v>40</v>
      </c>
      <c r="P499">
        <v>21</v>
      </c>
      <c r="Q499" t="s">
        <v>24</v>
      </c>
      <c r="R499" t="s">
        <v>46</v>
      </c>
      <c r="S499" t="s">
        <v>49</v>
      </c>
      <c r="T499" s="2">
        <v>43191</v>
      </c>
      <c r="U499">
        <v>2</v>
      </c>
      <c r="V499">
        <f t="shared" ca="1" si="7"/>
        <v>0.37713499017414898</v>
      </c>
    </row>
    <row r="500" spans="1:22">
      <c r="A500">
        <v>499</v>
      </c>
      <c r="B500" t="s">
        <v>1</v>
      </c>
      <c r="C500" t="s">
        <v>58</v>
      </c>
      <c r="D500" t="s">
        <v>52</v>
      </c>
      <c r="E500">
        <v>2</v>
      </c>
      <c r="F500" t="s">
        <v>53</v>
      </c>
      <c r="G500" t="s">
        <v>50</v>
      </c>
      <c r="H500" t="s">
        <v>3</v>
      </c>
      <c r="I500" t="s">
        <v>3</v>
      </c>
      <c r="J500" s="1" t="s">
        <v>39</v>
      </c>
      <c r="K500" t="s">
        <v>39</v>
      </c>
      <c r="L500">
        <v>1</v>
      </c>
      <c r="M500" t="e">
        <f>IF(D500="Y","",IF(N500="Y",INDEX(#REF!,MATCH(C500,#REF!,0)),C500))</f>
        <v>#REF!</v>
      </c>
      <c r="N500" t="s">
        <v>50</v>
      </c>
      <c r="O500" t="s">
        <v>42</v>
      </c>
      <c r="P500">
        <v>42</v>
      </c>
      <c r="Q500" t="s">
        <v>11</v>
      </c>
      <c r="R500" t="s">
        <v>45</v>
      </c>
      <c r="S500" t="s">
        <v>45</v>
      </c>
      <c r="T500" s="2">
        <v>42461</v>
      </c>
      <c r="U500">
        <v>4</v>
      </c>
      <c r="V500">
        <f t="shared" ca="1" si="7"/>
        <v>0.67448364534881855</v>
      </c>
    </row>
    <row r="501" spans="1:22">
      <c r="A501">
        <v>500</v>
      </c>
      <c r="B501" t="s">
        <v>1</v>
      </c>
      <c r="C501" t="s">
        <v>57</v>
      </c>
      <c r="D501" t="s">
        <v>52</v>
      </c>
      <c r="E501">
        <v>2</v>
      </c>
      <c r="F501" t="s">
        <v>53</v>
      </c>
      <c r="G501" t="s">
        <v>50</v>
      </c>
      <c r="H501" t="s">
        <v>7</v>
      </c>
      <c r="I501" t="s">
        <v>7</v>
      </c>
      <c r="J501" s="1" t="s">
        <v>39</v>
      </c>
      <c r="K501" t="s">
        <v>39</v>
      </c>
      <c r="L501">
        <v>9</v>
      </c>
      <c r="M501" t="str">
        <f>IF(D501="Y","",IF(N501="Y",INDEX(#REF!,MATCH(C501,#REF!,0)),C501))</f>
        <v>4 - Manager</v>
      </c>
      <c r="N501" t="s">
        <v>52</v>
      </c>
      <c r="O501" t="s">
        <v>41</v>
      </c>
      <c r="P501">
        <v>39</v>
      </c>
      <c r="Q501" t="s">
        <v>9</v>
      </c>
      <c r="R501" t="s">
        <v>9</v>
      </c>
      <c r="S501" t="s">
        <v>9</v>
      </c>
      <c r="T501" s="2">
        <v>40634</v>
      </c>
      <c r="U501">
        <v>9</v>
      </c>
      <c r="V501">
        <f t="shared" ca="1" si="7"/>
        <v>0.50238155572773613</v>
      </c>
    </row>
  </sheetData>
  <autoFilter ref="A1:V1" xr:uid="{00000000-0009-0000-0000-000000000000}">
    <sortState xmlns:xlrd2="http://schemas.microsoft.com/office/spreadsheetml/2017/richdata2" ref="A2:V501">
      <sortCondition ref="A1"/>
    </sortState>
  </autoFilter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8ABEC-8FA2-415B-BE92-F8AB6918E718}">
  <dimension ref="A2:C5"/>
  <sheetViews>
    <sheetView workbookViewId="0">
      <selection activeCell="C5" sqref="C5"/>
    </sheetView>
  </sheetViews>
  <sheetFormatPr defaultRowHeight="13.2"/>
  <cols>
    <col min="2" max="2" width="32.21875" bestFit="1" customWidth="1"/>
  </cols>
  <sheetData>
    <row r="2" spans="1:3">
      <c r="A2">
        <v>1</v>
      </c>
      <c r="B2" t="s">
        <v>64</v>
      </c>
    </row>
    <row r="3" spans="1:3">
      <c r="B3" t="s">
        <v>1</v>
      </c>
      <c r="C3">
        <f>COUNTIF('Pharma Group AG'!B2:B501,"Male")/COUNTA('Pharma Group AG'!B2:B501)</f>
        <v>0.59</v>
      </c>
    </row>
    <row r="4" spans="1:3">
      <c r="B4" t="s">
        <v>0</v>
      </c>
      <c r="C4">
        <f>COUNTIF('Pharma Group AG'!B3:B502,"Female")/COUNTA('Pharma Group AG'!B3:B502)</f>
        <v>0.41082164328657317</v>
      </c>
    </row>
    <row r="5" spans="1:3">
      <c r="A5">
        <v>2</v>
      </c>
      <c r="B5" t="s">
        <v>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E67D03107854DAC131E594CAC6D84" ma:contentTypeVersion="11" ma:contentTypeDescription="Create a new document." ma:contentTypeScope="" ma:versionID="765c9643b3ded3f13a689953bf3313cf">
  <xsd:schema xmlns:xsd="http://www.w3.org/2001/XMLSchema" xmlns:xs="http://www.w3.org/2001/XMLSchema" xmlns:p="http://schemas.microsoft.com/office/2006/metadata/properties" xmlns:ns2="d84e4571-a221-42bf-b7fb-93635ee21df0" xmlns:ns3="ec10cf3e-a676-41e1-a044-da170c7ccd02" targetNamespace="http://schemas.microsoft.com/office/2006/metadata/properties" ma:root="true" ma:fieldsID="e3d83f66a872e41938b0f342b108d2c4" ns2:_="" ns3:_="">
    <xsd:import namespace="d84e4571-a221-42bf-b7fb-93635ee21df0"/>
    <xsd:import namespace="ec10cf3e-a676-41e1-a044-da170c7ccd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e4571-a221-42bf-b7fb-93635ee21d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0cf3e-a676-41e1-a044-da170c7ccd0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17FB315-62EF-445E-B12F-F8A87E6746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4e4571-a221-42bf-b7fb-93635ee21df0"/>
    <ds:schemaRef ds:uri="ec10cf3e-a676-41e1-a044-da170c7ccd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AE94459-823A-4869-BECE-D3E7BCC003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8C2589-51A9-4180-B861-07BC4CBAD473}">
  <ds:schemaRefs>
    <ds:schemaRef ds:uri="http://schemas.microsoft.com/office/2006/documentManagement/types"/>
    <ds:schemaRef ds:uri="http://schemas.microsoft.com/office/2006/metadata/properties"/>
    <ds:schemaRef ds:uri="http://purl.org/dc/terms/"/>
    <ds:schemaRef ds:uri="ec10cf3e-a676-41e1-a044-da170c7ccd02"/>
    <ds:schemaRef ds:uri="http://purl.org/dc/elements/1.1/"/>
    <ds:schemaRef ds:uri="d84e4571-a221-42bf-b7fb-93635ee21df0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Pharma Group AG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Di Cristo</dc:creator>
  <cp:lastModifiedBy>Manish Sharma</cp:lastModifiedBy>
  <dcterms:created xsi:type="dcterms:W3CDTF">2020-09-23T13:01:50Z</dcterms:created>
  <dcterms:modified xsi:type="dcterms:W3CDTF">2026-04-13T04:32:40Z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testReviewTimestamp">
    <vt:lpwstr/>
  </property>
  <property fmtid="{D5CDD505-2E9C-101B-9397-08002B2CF9AE}" pid="3" name="LikesCount">
    <vt:lpwstr/>
  </property>
  <property fmtid="{D5CDD505-2E9C-101B-9397-08002B2CF9AE}" pid="4" name="LatestReviewedVersion">
    <vt:lpwstr/>
  </property>
  <property fmtid="{D5CDD505-2E9C-101B-9397-08002B2CF9AE}" pid="5" name="LatestApprovedVersion">
    <vt:lpwstr/>
  </property>
  <property fmtid="{D5CDD505-2E9C-101B-9397-08002B2CF9AE}" pid="6" name="ReviewStatusNew">
    <vt:lpwstr/>
  </property>
  <property fmtid="{D5CDD505-2E9C-101B-9397-08002B2CF9AE}" pid="7" name="Ratings">
    <vt:lpwstr/>
  </property>
  <property fmtid="{D5CDD505-2E9C-101B-9397-08002B2CF9AE}" pid="8" name="LatestReview">
    <vt:lpwstr/>
  </property>
  <property fmtid="{D5CDD505-2E9C-101B-9397-08002B2CF9AE}" pid="9" name="LikedBy">
    <vt:lpwstr/>
  </property>
  <property fmtid="{D5CDD505-2E9C-101B-9397-08002B2CF9AE}" pid="10" name="LatestReviewer">
    <vt:lpwstr/>
  </property>
  <property fmtid="{D5CDD505-2E9C-101B-9397-08002B2CF9AE}" pid="11" name="MP_UserTags">
    <vt:lpwstr/>
  </property>
  <property fmtid="{D5CDD505-2E9C-101B-9397-08002B2CF9AE}" pid="12" name="MP_InheritedTags">
    <vt:lpwstr/>
  </property>
  <property fmtid="{D5CDD505-2E9C-101B-9397-08002B2CF9AE}" pid="13" name="Reviewer">
    <vt:lpwstr/>
  </property>
  <property fmtid="{D5CDD505-2E9C-101B-9397-08002B2CF9AE}" pid="14" name="Approver">
    <vt:lpwstr/>
  </property>
  <property fmtid="{D5CDD505-2E9C-101B-9397-08002B2CF9AE}" pid="15" name="LatestReviewRequestor">
    <vt:lpwstr/>
  </property>
  <property fmtid="{D5CDD505-2E9C-101B-9397-08002B2CF9AE}" pid="16" name="ReviewComment">
    <vt:lpwstr/>
  </property>
  <property fmtid="{D5CDD505-2E9C-101B-9397-08002B2CF9AE}" pid="17" name="ReviewRequestor">
    <vt:lpwstr/>
  </property>
  <property fmtid="{D5CDD505-2E9C-101B-9397-08002B2CF9AE}" pid="18" name="ApprovedVersion">
    <vt:lpwstr/>
  </property>
  <property fmtid="{D5CDD505-2E9C-101B-9397-08002B2CF9AE}" pid="19" name="RatedBy">
    <vt:lpwstr/>
  </property>
  <property fmtid="{D5CDD505-2E9C-101B-9397-08002B2CF9AE}" pid="20" name="ApproveTimestamp">
    <vt:lpwstr/>
  </property>
  <property fmtid="{D5CDD505-2E9C-101B-9397-08002B2CF9AE}" pid="21" name="ContentTypeId">
    <vt:lpwstr>0x010100CEDE67D03107854DAC131E594CAC6D84</vt:lpwstr>
  </property>
</Properties>
</file>