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weta Sharma\Downloads\"/>
    </mc:Choice>
  </mc:AlternateContent>
  <xr:revisionPtr revIDLastSave="0" documentId="13_ncr:1_{77DB5431-0E6E-4B21-B55C-619716EAFB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3" sheetId="4" r:id="rId2"/>
    <sheet name="Employees" sheetId="1" r:id="rId3"/>
    <sheet name="Sheet2" sheetId="3" r:id="rId4"/>
  </sheets>
  <definedNames>
    <definedName name="_xlnm._FilterDatabase" localSheetId="2" hidden="1">Employees!$A$1:$X$311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2" i="1"/>
</calcChain>
</file>

<file path=xl/sharedStrings.xml><?xml version="1.0" encoding="utf-8"?>
<sst xmlns="http://schemas.openxmlformats.org/spreadsheetml/2006/main" count="2911" uniqueCount="478">
  <si>
    <t>Employee_Name</t>
  </si>
  <si>
    <t>EmpID</t>
  </si>
  <si>
    <t>GenderID</t>
  </si>
  <si>
    <t>EmpStatusID</t>
  </si>
  <si>
    <t>DeptID</t>
  </si>
  <si>
    <t>PerfScoreID</t>
  </si>
  <si>
    <t>Salary</t>
  </si>
  <si>
    <t>PositionID</t>
  </si>
  <si>
    <t>Position</t>
  </si>
  <si>
    <t>State</t>
  </si>
  <si>
    <t>Zip</t>
  </si>
  <si>
    <t>DOB</t>
  </si>
  <si>
    <t>Sex</t>
  </si>
  <si>
    <t>MaritalDesc</t>
  </si>
  <si>
    <t>DateofHire</t>
  </si>
  <si>
    <t>Department</t>
  </si>
  <si>
    <t>ManagerName</t>
  </si>
  <si>
    <t>ManagerID</t>
  </si>
  <si>
    <t>RecruitmentSource</t>
  </si>
  <si>
    <t>SpecialProjectsCount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</si>
  <si>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</si>
  <si>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</si>
  <si>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</si>
  <si>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</si>
  <si>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</si>
  <si>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</si>
  <si>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</si>
  <si>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 xml:space="preserve">Production       </t>
  </si>
  <si>
    <t>Michael Albert</t>
  </si>
  <si>
    <t>LinkedIn</t>
  </si>
  <si>
    <t xml:space="preserve">Ait Sidi, Karthikeyan   </t>
  </si>
  <si>
    <t>Sr. DBA</t>
  </si>
  <si>
    <t>Married</t>
  </si>
  <si>
    <t>IT/IS</t>
  </si>
  <si>
    <t>Simon Roup</t>
  </si>
  <si>
    <t>Indeed</t>
  </si>
  <si>
    <t>Akinkuolie, Sarah</t>
  </si>
  <si>
    <t>Production Technician II</t>
  </si>
  <si>
    <t>F</t>
  </si>
  <si>
    <t>Kissy Sullivan</t>
  </si>
  <si>
    <t>Alagbe,Trina</t>
  </si>
  <si>
    <t>Elijiah Gray</t>
  </si>
  <si>
    <t xml:space="preserve">Anderson, Carol </t>
  </si>
  <si>
    <t>Divorced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</si>
  <si>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</si>
  <si>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</si>
  <si>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</si>
  <si>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</si>
  <si>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</si>
  <si>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</si>
  <si>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</si>
  <si>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</si>
  <si>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</si>
  <si>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</si>
  <si>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</si>
  <si>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</si>
  <si>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</si>
  <si>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</si>
  <si>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</si>
  <si>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</si>
  <si>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</si>
  <si>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</si>
  <si>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</si>
  <si>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David Stanley</t>
  </si>
  <si>
    <t>Barbara, Thomas</t>
  </si>
  <si>
    <t>Barbossa, Hector</t>
  </si>
  <si>
    <t>Data Analyst</t>
  </si>
  <si>
    <t>TX</t>
  </si>
  <si>
    <t>Barone, Francesco  A</t>
  </si>
  <si>
    <t>Kelley Spirea</t>
  </si>
  <si>
    <t>Barton, Nader</t>
  </si>
  <si>
    <t>On-line Web application</t>
  </si>
  <si>
    <t>Bates, Norman</t>
  </si>
  <si>
    <t xml:space="preserve">Beak, Kimberly  </t>
  </si>
  <si>
    <t xml:space="preserve">Beatrice, Courtney </t>
  </si>
  <si>
    <t>Becker, Renee</t>
  </si>
  <si>
    <t>Database Administrator</t>
  </si>
  <si>
    <t>Becker, Scott</t>
  </si>
  <si>
    <t>Bernstein, Sean</t>
  </si>
  <si>
    <t>Biden, Lowan  M</t>
  </si>
  <si>
    <t>Billis, Helen</t>
  </si>
  <si>
    <t>Blount, Dianna</t>
  </si>
  <si>
    <t>CareerBuilder</t>
  </si>
  <si>
    <t>Bondwell, Betsy</t>
  </si>
  <si>
    <t>Booth, Frank</t>
  </si>
  <si>
    <t>Enterprise Architect</t>
  </si>
  <si>
    <t>CT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</si>
  <si>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</si>
  <si>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</si>
  <si>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</si>
  <si>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</si>
  <si>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</si>
  <si>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</si>
  <si>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</si>
  <si>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</si>
  <si>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</si>
  <si>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</si>
  <si>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</si>
  <si>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</si>
  <si>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</si>
  <si>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</si>
  <si>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</si>
  <si>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</si>
  <si>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</si>
  <si>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</si>
  <si>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</si>
  <si>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</si>
  <si>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</si>
  <si>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</si>
  <si>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</si>
  <si>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</si>
  <si>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</si>
  <si>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</si>
  <si>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</si>
  <si>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</si>
  <si>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</si>
  <si>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</si>
  <si>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</si>
  <si>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</si>
  <si>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</si>
  <si>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</si>
  <si>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</si>
  <si>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</si>
  <si>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</si>
  <si>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 xml:space="preserve">Cierpiszewski, Caroline  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</si>
  <si>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</si>
  <si>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</si>
  <si>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</si>
  <si>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</si>
  <si>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</si>
  <si>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</si>
  <si>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</si>
  <si>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</si>
  <si>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</si>
  <si>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</si>
  <si>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</si>
  <si>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</si>
  <si>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</si>
  <si>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</si>
  <si>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</si>
  <si>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</si>
  <si>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</si>
  <si>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</si>
  <si>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</si>
  <si>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</si>
  <si>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</si>
  <si>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</si>
  <si>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</si>
  <si>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</si>
  <si>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</si>
  <si>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</si>
  <si>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Demita, Carla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</si>
  <si>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</si>
  <si>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</si>
  <si>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</si>
  <si>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</si>
  <si>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</si>
  <si>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</si>
  <si>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</si>
  <si>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</si>
  <si>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</si>
  <si>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</si>
  <si>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</si>
  <si>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</si>
  <si>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</si>
  <si>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</si>
  <si>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</si>
  <si>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</si>
  <si>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</si>
  <si>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</si>
  <si>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Engdahl, Jean</t>
  </si>
  <si>
    <t>England, Rex</t>
  </si>
  <si>
    <t>Erilus, Angela</t>
  </si>
  <si>
    <t>Estremera, Miguel</t>
  </si>
  <si>
    <t>Evensen, April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</si>
  <si>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</si>
  <si>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</si>
  <si>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</si>
  <si>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</si>
  <si>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</si>
  <si>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</si>
  <si>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</si>
  <si>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</si>
  <si>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</si>
  <si>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</si>
  <si>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</si>
  <si>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Foss, Jason</t>
  </si>
  <si>
    <t>IT Director</t>
  </si>
  <si>
    <t>Foster-Baker, Amy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</si>
  <si>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</si>
  <si>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</si>
  <si>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</si>
  <si>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</si>
  <si>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</si>
  <si>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</si>
  <si>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</si>
  <si>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</si>
  <si>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</si>
  <si>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</si>
  <si>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</si>
  <si>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</si>
  <si>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</si>
  <si>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</si>
  <si>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</si>
  <si>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</si>
  <si>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</si>
  <si>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</si>
  <si>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</si>
  <si>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</si>
  <si>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</si>
  <si>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</si>
  <si>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</si>
  <si>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</si>
  <si>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</si>
  <si>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</si>
  <si>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</si>
  <si>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</si>
  <si>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</si>
  <si>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</si>
  <si>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</si>
  <si>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</si>
  <si>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</si>
  <si>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</si>
  <si>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</si>
  <si>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</si>
  <si>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</si>
  <si>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</si>
  <si>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</si>
  <si>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</si>
  <si>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</si>
  <si>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</si>
  <si>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</si>
  <si>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</si>
  <si>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</si>
  <si>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</si>
  <si>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</si>
  <si>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</si>
  <si>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</si>
  <si>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</si>
  <si>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</si>
  <si>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</si>
  <si>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</si>
  <si>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</si>
  <si>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</si>
  <si>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</si>
  <si>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</si>
  <si>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</si>
  <si>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</si>
  <si>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</si>
  <si>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</si>
  <si>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</si>
  <si>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</si>
  <si>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</si>
  <si>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</si>
  <si>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</si>
  <si>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</si>
  <si>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</si>
  <si>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</si>
  <si>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</si>
  <si>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</si>
  <si>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</si>
  <si>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</si>
  <si>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</si>
  <si>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</si>
  <si>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</si>
  <si>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</si>
  <si>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</si>
  <si>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</si>
  <si>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</si>
  <si>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</si>
  <si>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</si>
  <si>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</si>
  <si>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</si>
  <si>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</si>
  <si>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</si>
  <si>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</si>
  <si>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</si>
  <si>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</si>
  <si>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</si>
  <si>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</si>
  <si>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</si>
  <si>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</si>
  <si>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</si>
  <si>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</si>
  <si>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</si>
  <si>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</si>
  <si>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</si>
  <si>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</si>
  <si>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</si>
  <si>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</si>
  <si>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</si>
  <si>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</si>
  <si>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</si>
  <si>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</si>
  <si>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</si>
  <si>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</si>
  <si>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</si>
  <si>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</si>
  <si>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</si>
  <si>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</si>
  <si>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</si>
  <si>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</si>
  <si>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</si>
  <si>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</si>
  <si>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</si>
  <si>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</si>
  <si>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</si>
  <si>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</si>
  <si>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</si>
  <si>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</si>
  <si>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</si>
  <si>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</si>
  <si>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</si>
  <si>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</si>
  <si>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</si>
  <si>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</si>
  <si>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</si>
  <si>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</si>
  <si>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</si>
  <si>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</si>
  <si>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</si>
  <si>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</si>
  <si>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</si>
  <si>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</si>
  <si>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</si>
  <si>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</si>
  <si>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</si>
  <si>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</si>
  <si>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</si>
  <si>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</si>
  <si>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</si>
  <si>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</si>
  <si>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</si>
  <si>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</si>
  <si>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</si>
  <si>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</si>
  <si>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</si>
  <si>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</si>
  <si>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</si>
  <si>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</si>
  <si>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</si>
  <si>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</si>
  <si>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</si>
  <si>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</si>
  <si>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</si>
  <si>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</si>
  <si>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</si>
  <si>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</si>
  <si>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</si>
  <si>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</si>
  <si>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</si>
  <si>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</si>
  <si>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</si>
  <si>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</si>
  <si>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</si>
  <si>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</si>
  <si>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</si>
  <si>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</si>
  <si>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</si>
  <si>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</si>
  <si>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</si>
  <si>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</si>
  <si>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</si>
  <si>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</si>
  <si>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</si>
  <si>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</si>
  <si>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</si>
  <si>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</si>
  <si>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</si>
  <si>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</si>
  <si>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</si>
  <si>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</si>
  <si>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</si>
  <si>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</si>
  <si>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</si>
  <si>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</si>
  <si>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</si>
  <si>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</si>
  <si>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</si>
  <si>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</si>
  <si>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</si>
  <si>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</si>
  <si>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</si>
  <si>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</si>
  <si>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</si>
  <si>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</si>
  <si>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</si>
  <si>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</si>
  <si>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</si>
  <si>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</si>
  <si>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</si>
  <si>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</si>
  <si>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</si>
  <si>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</si>
  <si>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</si>
  <si>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</si>
  <si>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</si>
  <si>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</si>
  <si>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</si>
  <si>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</si>
  <si>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</si>
  <si>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</si>
  <si>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</si>
  <si>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</si>
  <si>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</si>
  <si>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</si>
  <si>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</si>
  <si>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</si>
  <si>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</si>
  <si>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</si>
  <si>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</si>
  <si>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</si>
  <si>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</si>
  <si>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</si>
  <si>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</si>
  <si>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</si>
  <si>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</si>
  <si>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</si>
  <si>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</si>
  <si>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</si>
  <si>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</si>
  <si>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</si>
  <si>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</si>
  <si>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</si>
  <si>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</si>
  <si>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</si>
  <si>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</si>
  <si>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</si>
  <si>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</si>
  <si>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</si>
  <si>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</si>
  <si>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</si>
  <si>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</si>
  <si>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</si>
  <si>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</si>
  <si>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Male</t>
  </si>
  <si>
    <t>Female</t>
  </si>
  <si>
    <t>Age</t>
  </si>
  <si>
    <t>Period</t>
  </si>
  <si>
    <t>Row Labels</t>
  </si>
  <si>
    <t>Grand Total</t>
  </si>
  <si>
    <t>Here’s the full expansion of those U.S. state abbreviations:</t>
  </si>
  <si>
    <r>
      <t xml:space="preserve">💡 In Power BI, you can either keep the abbreviations (since maps recognize them) or create a </t>
    </r>
    <r>
      <rPr>
        <b/>
        <sz val="11"/>
        <color theme="1"/>
        <rFont val="Calibri"/>
        <family val="2"/>
        <scheme val="minor"/>
      </rPr>
      <t>lookup table</t>
    </r>
    <r>
      <rPr>
        <sz val="11"/>
        <color theme="1"/>
        <rFont val="Calibri"/>
        <family val="2"/>
        <scheme val="minor"/>
      </rPr>
      <t xml:space="preserve"> with both abbreviation and full name. That way, you can use the full names in labels while still mapping correctly.</t>
    </r>
  </si>
  <si>
    <r>
      <t xml:space="preserve">Would you like me to show you how to build a </t>
    </r>
    <r>
      <rPr>
        <b/>
        <sz val="11"/>
        <color theme="1"/>
        <rFont val="Calibri"/>
        <family val="2"/>
        <scheme val="minor"/>
      </rPr>
      <t>State lookup table in Power BI</t>
    </r>
    <r>
      <rPr>
        <sz val="11"/>
        <color theme="1"/>
        <rFont val="Calibri"/>
        <family val="2"/>
        <scheme val="minor"/>
      </rPr>
      <t xml:space="preserve"> (so you can join abbreviations with full names and use them in visuals)?</t>
    </r>
  </si>
  <si>
    <t>Alabama</t>
  </si>
  <si>
    <t>Arizona</t>
  </si>
  <si>
    <t>California</t>
  </si>
  <si>
    <t>Colorado</t>
  </si>
  <si>
    <t>Connecticut</t>
  </si>
  <si>
    <t>Florida</t>
  </si>
  <si>
    <t>Georgia</t>
  </si>
  <si>
    <t>Idaho</t>
  </si>
  <si>
    <t>Indiana</t>
  </si>
  <si>
    <t>Kentucky</t>
  </si>
  <si>
    <t>Massachusetts</t>
  </si>
  <si>
    <t>Maine</t>
  </si>
  <si>
    <t>Montana</t>
  </si>
  <si>
    <t>North Carolina</t>
  </si>
  <si>
    <t>North Dakota</t>
  </si>
  <si>
    <t>New Hampshire</t>
  </si>
  <si>
    <t>Nevada</t>
  </si>
  <si>
    <t>New York</t>
  </si>
  <si>
    <t>Ohio</t>
  </si>
  <si>
    <t>Oregon</t>
  </si>
  <si>
    <t>Pennsylvania</t>
  </si>
  <si>
    <t>Rhode Island</t>
  </si>
  <si>
    <t>Tennessee</t>
  </si>
  <si>
    <t>Texas</t>
  </si>
  <si>
    <t>Utah</t>
  </si>
  <si>
    <t>Virginia</t>
  </si>
  <si>
    <t>Vermont</t>
  </si>
  <si>
    <t>Washington</t>
  </si>
  <si>
    <t>Sum of Period</t>
  </si>
  <si>
    <t>5-8</t>
  </si>
  <si>
    <t>8-11</t>
  </si>
  <si>
    <t>11-14</t>
  </si>
  <si>
    <t>14-17</t>
  </si>
  <si>
    <t>17-20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</si>
</sst>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/mm/yy;@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164" fontId="0" fillId="33" borderId="0" xfId="0" applyNumberFormat="1" applyFill="1"/>
    <xf numFmtId="164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165" fontId="0" fillId="33" borderId="0" xfId="0" applyNumberFormat="1" applyFill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D6F7993-AACA-4A48-9631-2ADFAB2AA1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Sharma" refreshedDate="46121.997286689817" createdVersion="8" refreshedVersion="8" minRefreshableVersion="3" recordCount="311" xr:uid="{4818EB94-0F0A-4B04-9DBB-8D2EE08ABFFC}">
  <cacheSource type="worksheet">
    <worksheetSource ref="A1:X311" sheet="Employees"/>
  </cacheSource>
  <cacheFields count="24">
    <cacheField name="Employee_Name" numFmtId="0">
      <sharedItems/>
    </cacheField>
    <cacheField name="EmpID" numFmtId="0">
      <sharedItems containsSemiMixedTypes="0" containsString="0" containsNumber="1" containsInteger="1" minValue="10001" maxValue="10311"/>
    </cacheField>
    <cacheField name="GenderID" numFmtId="0">
      <sharedItems/>
    </cacheField>
    <cacheField name="EmpStatusID" numFmtId="0">
      <sharedItems containsSemiMixedTypes="0" containsString="0" containsNumber="1" containsInteger="1" minValue="1" maxValue="5"/>
    </cacheField>
    <cacheField name="DeptID" numFmtId="0">
      <sharedItems containsSemiMixedTypes="0" containsString="0" containsNumber="1" containsInteger="1" minValue="1" maxValue="6"/>
    </cacheField>
    <cacheField name="PerfScoreID" numFmtId="0">
      <sharedItems containsSemiMixedTypes="0" containsString="0" containsNumber="1" containsInteger="1" minValue="1" maxValue="4"/>
    </cacheField>
    <cacheField name="Salary" numFmtId="0">
      <sharedItems containsSemiMixedTypes="0" containsString="0" containsNumber="1" containsInteger="1" minValue="45046" maxValue="250000"/>
    </cacheField>
    <cacheField name="PositionID" numFmtId="0">
      <sharedItems containsSemiMixedTypes="0" containsString="0" containsNumber="1" containsInteger="1" minValue="1" maxValue="30"/>
    </cacheField>
    <cacheField name="Position" numFmtId="0">
      <sharedItems/>
    </cacheField>
    <cacheField name="State" numFmtId="0">
      <sharedItems count="28">
        <s v="MA"/>
        <s v="TX"/>
        <s v="CT"/>
        <s v="VA"/>
        <s v="VT"/>
        <s v="AL"/>
        <s v="WA"/>
        <s v="CA"/>
        <s v="OH"/>
        <s v="IN"/>
        <s v="TN"/>
        <s v="NH"/>
        <s v="RI"/>
        <s v="PA"/>
        <s v="CO"/>
        <s v="NY"/>
        <s v="UT"/>
        <s v="GA"/>
        <s v="FL"/>
        <s v="NC"/>
        <s v="KY"/>
        <s v="ID"/>
        <s v="NV"/>
        <s v="MT"/>
        <s v="OR"/>
        <s v="ND"/>
        <s v="AZ"/>
        <s v="ME"/>
      </sharedItems>
    </cacheField>
    <cacheField name="Zip" numFmtId="0">
      <sharedItems containsSemiMixedTypes="0" containsString="0" containsNumber="1" containsInteger="1" minValue="1013" maxValue="98052"/>
    </cacheField>
    <cacheField name="DOB" numFmtId="164">
      <sharedItems containsDate="1" containsMixedTypes="1" minDate="1951-02-01T00:00:00" maxDate="1992-08-07T00:00:00"/>
    </cacheField>
    <cacheField name="Age" numFmtId="1">
      <sharedItems containsMixedTypes="1" containsNumber="1" containsInteger="1" minValue="33" maxValue="75"/>
    </cacheField>
    <cacheField name="Sex" numFmtId="0">
      <sharedItems/>
    </cacheField>
    <cacheField name="MaritalDesc" numFmtId="0">
      <sharedItems/>
    </cacheField>
    <cacheField name="DateofHire" numFmtId="164">
      <sharedItems containsSemiMixedTypes="0" containsNonDate="0" containsDate="1" containsString="0" minDate="2006-09-01T00:00:00" maxDate="2018-09-08T00:00:00"/>
    </cacheField>
    <cacheField name="Period" numFmtId="165">
      <sharedItems containsSemiMixedTypes="0" containsString="0" containsNumber="1" minValue="7.5917808219178085" maxValue="19.616438356164384" count="102">
        <n v="14.934246575342465"/>
        <n v="11.035616438356165"/>
        <n v="17.783561643835615"/>
        <n v="14.43013698630137"/>
        <n v="13.610958904109589"/>
        <n v="11.501369863013698"/>
        <n v="12.531506849315068"/>
        <n v="16.849315068493151"/>
        <n v="10.947945205479453"/>
        <n v="14.531506849315068"/>
        <n v="14.186301369863013"/>
        <n v="14.142465753424657"/>
        <n v="13.547945205479452"/>
        <n v="15.139726027397261"/>
        <n v="9.7232876712328764"/>
        <n v="15.024657534246575"/>
        <n v="11.764383561643836"/>
        <n v="12.67945205479452"/>
        <n v="12.561643835616438"/>
        <n v="12.147945205479452"/>
        <n v="11.150684931506849"/>
        <n v="17.460273972602739"/>
        <n v="11.534246575342467"/>
        <n v="12.416438356164383"/>
        <n v="14.66027397260274"/>
        <n v="13.942465753424658"/>
        <n v="10.202739726027398"/>
        <n v="12.032876712328767"/>
        <n v="9.7808219178082183"/>
        <n v="11.64931506849315"/>
        <n v="9.838356164383562"/>
        <n v="11.35068493150685"/>
        <n v="13.912328767123288"/>
        <n v="14.794520547945206"/>
        <n v="15.093150684931507"/>
        <n v="13.926027397260274"/>
        <n v="14.90958904109589"/>
        <n v="15.61917808219178"/>
        <n v="9.8438356164383567"/>
        <n v="15.731506849315069"/>
        <n v="16.950684931506849"/>
        <n v="11.936986301369863"/>
        <n v="14.178082191780822"/>
        <n v="14.756164383561643"/>
        <n v="7.5917808219178085"/>
        <n v="9.1506849315068486"/>
        <n v="12.780821917808218"/>
        <n v="11.947945205479453"/>
        <n v="11.564383561643835"/>
        <n v="15.964383561643835"/>
        <n v="15.183561643835617"/>
        <n v="10.432876712328767"/>
        <n v="14.994520547945205"/>
        <n v="14.843835616438357"/>
        <n v="16.268493150684932"/>
        <n v="12.646575342465754"/>
        <n v="11.178082191780822"/>
        <n v="8.9753424657534246"/>
        <n v="13.775342465753425"/>
        <n v="14.372602739726027"/>
        <n v="13.663013698630136"/>
        <n v="9.8465753424657532"/>
        <n v="10.934246575342465"/>
        <n v="13.920547945205479"/>
        <n v="11.863013698630137"/>
        <n v="14.545205479452054"/>
        <n v="14.778082191780822"/>
        <n v="13.594520547945205"/>
        <n v="10.167123287671233"/>
        <n v="9.9452054794520546"/>
        <n v="13.950684931506849"/>
        <n v="15.224657534246575"/>
        <n v="9.4301369863013704"/>
        <n v="14.868493150684932"/>
        <n v="13.654794520547945"/>
        <n v="14.156164383561643"/>
        <n v="12.915068493150685"/>
        <n v="13.268493150684931"/>
        <n v="8.5232876712328771"/>
        <n v="14.780821917808218"/>
        <n v="12.246575342465754"/>
        <n v="15.493150684931507"/>
        <n v="18.926027397260274"/>
        <n v="8.7780821917808218"/>
        <n v="13.224657534246575"/>
        <n v="10.010958904109589"/>
        <n v="11.531506849315068"/>
        <n v="11.265753424657534"/>
        <n v="16.463013698630139"/>
        <n v="11.901369863013699"/>
        <n v="14.517808219178082"/>
        <n v="14.169863013698631"/>
        <n v="15.542465753424658"/>
        <n v="16.698630136986303"/>
        <n v="16.961643835616439"/>
        <n v="18.802739726027397"/>
        <n v="13.145205479452056"/>
        <n v="19.616438356164384"/>
        <n v="15.260273972602739"/>
        <n v="10.931506849315069"/>
        <n v="18.175342465753424"/>
        <n v="15.523287671232877"/>
      </sharedItems>
      <fieldGroup base="16">
        <rangePr autoStart="0" autoEnd="0" startNum="5" endNum="20" groupInterval="3"/>
        <groupItems count="7">
          <s v="&lt;5"/>
          <s v="5-8"/>
          <s v="8-11"/>
          <s v="11-14"/>
          <s v="14-17"/>
          <s v="17-20"/>
          <s v="&gt;20"/>
        </groupItems>
      </fieldGroup>
    </cacheField>
    <cacheField name="Department" numFmtId="0">
      <sharedItems/>
    </cacheField>
    <cacheField name="ManagerName" numFmtId="0">
      <sharedItems/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/>
    </cacheField>
    <cacheField name="SpecialProjectsCount" numFmtId="0">
      <sharedItems containsSemiMixedTypes="0" containsString="0" containsNumber="1" containsInteger="1" minValue="0" maxValue="8"/>
    </cacheField>
    <cacheField name="DaysLateLast30" numFmtId="0">
      <sharedItems containsSemiMixedTypes="0" containsString="0" containsNumber="1" containsInteger="1" minValue="0" maxValue="6"/>
    </cacheField>
    <cacheField name="Absence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Adinolfi, Wilson  K"/>
    <n v="10026"/>
    <s v="Female"/>
    <n v="1"/>
    <n v="5"/>
    <n v="4"/>
    <n v="62506"/>
    <n v="19"/>
    <s v="Production Technician I"/>
    <x v="0"/>
    <n v="1960"/>
    <d v="1983-10-07T00:00:00"/>
    <n v="42"/>
    <s v="M "/>
    <s v="Single"/>
    <d v="2011-05-07T00:00:00"/>
    <x v="0"/>
    <s v="Production       "/>
    <s v="Michael Albert"/>
    <n v="22"/>
    <s v="LinkedIn"/>
    <n v="0"/>
    <n v="0"/>
    <n v="1"/>
  </r>
  <r>
    <s v="Ait Sidi, Karthikeyan   "/>
    <n v="10084"/>
    <s v="Female"/>
    <n v="5"/>
    <n v="3"/>
    <n v="3"/>
    <n v="104437"/>
    <n v="27"/>
    <s v="Sr. DBA"/>
    <x v="0"/>
    <n v="2148"/>
    <d v="1975-05-05T00:00:00"/>
    <n v="50"/>
    <s v="M "/>
    <s v="Married"/>
    <d v="2015-03-30T00:00:00"/>
    <x v="1"/>
    <s v="IT/IS"/>
    <s v="Simon Roup"/>
    <n v="4"/>
    <s v="Indeed"/>
    <n v="6"/>
    <n v="0"/>
    <n v="17"/>
  </r>
  <r>
    <s v="Akinkuolie, Sarah"/>
    <n v="10196"/>
    <s v="Male"/>
    <n v="5"/>
    <n v="5"/>
    <n v="3"/>
    <n v="64955"/>
    <n v="20"/>
    <s v="Production Technician II"/>
    <x v="0"/>
    <n v="1810"/>
    <d v="1988-09-09T00:00:00"/>
    <n v="37"/>
    <s v="F"/>
    <s v="Married"/>
    <d v="2011-05-07T00:00:00"/>
    <x v="0"/>
    <s v="Production       "/>
    <s v="Kissy Sullivan"/>
    <n v="20"/>
    <s v="LinkedIn"/>
    <n v="0"/>
    <n v="0"/>
    <n v="3"/>
  </r>
  <r>
    <s v="Alagbe,Trina"/>
    <n v="10088"/>
    <s v="Male"/>
    <n v="1"/>
    <n v="5"/>
    <n v="3"/>
    <n v="64991"/>
    <n v="19"/>
    <s v="Production Technician I"/>
    <x v="0"/>
    <n v="1886"/>
    <d v="1988-07-09T00:00:00"/>
    <n v="37"/>
    <s v="F"/>
    <s v="Married"/>
    <d v="2008-07-01T00:00:00"/>
    <x v="2"/>
    <s v="Production       "/>
    <s v="Elijiah Gray"/>
    <n v="16"/>
    <s v="Indeed"/>
    <n v="0"/>
    <n v="0"/>
    <n v="15"/>
  </r>
  <r>
    <s v="Anderson, Carol "/>
    <n v="10069"/>
    <s v="Male"/>
    <n v="5"/>
    <n v="5"/>
    <n v="3"/>
    <n v="50825"/>
    <n v="19"/>
    <s v="Production Technician I"/>
    <x v="0"/>
    <n v="2169"/>
    <d v="1989-08-09T00:00:00"/>
    <n v="36"/>
    <s v="F"/>
    <s v="Divorced"/>
    <d v="2011-11-07T00:00:00"/>
    <x v="3"/>
    <s v="Production       "/>
    <s v="Webster Butler"/>
    <n v="39"/>
    <s v="Google Search"/>
    <n v="0"/>
    <n v="0"/>
    <n v="2"/>
  </r>
  <r>
    <s v="Anderson, Linda  "/>
    <n v="10002"/>
    <s v="Male"/>
    <n v="1"/>
    <n v="5"/>
    <n v="4"/>
    <n v="57568"/>
    <n v="19"/>
    <s v="Production Technician I"/>
    <x v="0"/>
    <n v="1844"/>
    <d v="1977-02-05T00:00:00"/>
    <n v="49"/>
    <s v="F"/>
    <s v="Single"/>
    <d v="2012-09-01T00:00:00"/>
    <x v="4"/>
    <s v="Production       "/>
    <s v="Amy Dunn"/>
    <n v="11"/>
    <s v="LinkedIn"/>
    <n v="0"/>
    <n v="0"/>
    <n v="15"/>
  </r>
  <r>
    <s v="Andreola, Colby"/>
    <n v="10194"/>
    <s v="Male"/>
    <n v="1"/>
    <n v="4"/>
    <n v="3"/>
    <n v="95660"/>
    <n v="24"/>
    <s v="Software Engineer"/>
    <x v="0"/>
    <n v="2110"/>
    <d v="1979-04-05T00:00:00"/>
    <n v="47"/>
    <s v="F"/>
    <s v="Single"/>
    <d v="2014-10-11T00:00:00"/>
    <x v="5"/>
    <s v="Software Engineering"/>
    <s v="Alex Sweetwater"/>
    <n v="10"/>
    <s v="LinkedIn"/>
    <n v="4"/>
    <n v="0"/>
    <n v="19"/>
  </r>
  <r>
    <s v="Athwal, Sam"/>
    <n v="10062"/>
    <s v="Female"/>
    <n v="1"/>
    <n v="5"/>
    <n v="3"/>
    <n v="59365"/>
    <n v="19"/>
    <s v="Production Technician I"/>
    <x v="0"/>
    <n v="2199"/>
    <d v="1983-08-02T00:00:00"/>
    <n v="42"/>
    <s v="M "/>
    <s v="Widowed"/>
    <d v="2013-09-30T00:00:00"/>
    <x v="6"/>
    <s v="Production       "/>
    <s v="Ketsia Liebig"/>
    <n v="19"/>
    <s v="Employee Referral"/>
    <n v="0"/>
    <n v="0"/>
    <n v="19"/>
  </r>
  <r>
    <s v="Bachiochi, Linda"/>
    <n v="10114"/>
    <s v="Male"/>
    <n v="3"/>
    <n v="5"/>
    <n v="3"/>
    <n v="47837"/>
    <n v="19"/>
    <s v="Production Technician I"/>
    <x v="0"/>
    <n v="1902"/>
    <d v="1970-11-02T00:00:00"/>
    <n v="55"/>
    <s v="F"/>
    <s v="Single"/>
    <d v="2009-06-07T00:00:00"/>
    <x v="7"/>
    <s v="Production       "/>
    <s v="Brannon Miller"/>
    <n v="12"/>
    <s v="Diversity Job Fair"/>
    <n v="0"/>
    <n v="0"/>
    <n v="4"/>
  </r>
  <r>
    <s v="Bacong, Alejandro "/>
    <n v="10250"/>
    <s v="Female"/>
    <n v="1"/>
    <n v="3"/>
    <n v="3"/>
    <n v="50178"/>
    <n v="14"/>
    <s v="IT Support"/>
    <x v="0"/>
    <n v="1886"/>
    <d v="1988-07-01T00:00:00"/>
    <n v="37"/>
    <s v="M "/>
    <s v="Divorced"/>
    <d v="2015-05-01T00:00:00"/>
    <x v="8"/>
    <s v="IT/IS"/>
    <s v="Peter Monroe"/>
    <n v="7"/>
    <s v="Indeed"/>
    <n v="6"/>
    <n v="0"/>
    <n v="16"/>
  </r>
  <r>
    <s v="Baczenski, Rachael  "/>
    <n v="10252"/>
    <s v="Male"/>
    <n v="5"/>
    <n v="5"/>
    <n v="3"/>
    <n v="54670"/>
    <n v="19"/>
    <s v="Production Technician I"/>
    <x v="0"/>
    <n v="1902"/>
    <d v="1974-12-01T00:00:00"/>
    <n v="51"/>
    <s v="F"/>
    <s v="Married"/>
    <d v="2011-10-01T00:00:00"/>
    <x v="9"/>
    <s v="Production       "/>
    <s v="David Stanley"/>
    <n v="14"/>
    <s v="Diversity Job Fair"/>
    <n v="0"/>
    <n v="0"/>
    <n v="12"/>
  </r>
  <r>
    <s v="Barbara, Thomas"/>
    <n v="10242"/>
    <s v="Female"/>
    <n v="5"/>
    <n v="5"/>
    <n v="3"/>
    <n v="47211"/>
    <n v="19"/>
    <s v="Production Technician I"/>
    <x v="0"/>
    <n v="2062"/>
    <d v="1974-11-02T00:00:00"/>
    <n v="51"/>
    <s v="M "/>
    <s v="Married"/>
    <d v="2012-02-04T00:00:00"/>
    <x v="10"/>
    <s v="Production       "/>
    <s v="Kissy Sullivan"/>
    <n v="20"/>
    <s v="Diversity Job Fair"/>
    <n v="0"/>
    <n v="0"/>
    <n v="15"/>
  </r>
  <r>
    <s v="Barbossa, Hector"/>
    <n v="10012"/>
    <s v="Female"/>
    <n v="1"/>
    <n v="3"/>
    <n v="4"/>
    <n v="92328"/>
    <n v="9"/>
    <s v="Data Analyst"/>
    <x v="1"/>
    <n v="78230"/>
    <d v="1988-04-07T00:00:00"/>
    <n v="38"/>
    <s v="M "/>
    <s v="Divorced"/>
    <d v="2014-10-11T00:00:00"/>
    <x v="5"/>
    <s v="IT/IS"/>
    <s v="Simon Roup"/>
    <n v="4"/>
    <s v="Diversity Job Fair"/>
    <n v="5"/>
    <n v="0"/>
    <n v="9"/>
  </r>
  <r>
    <s v="Barone, Francesco  A"/>
    <n v="10265"/>
    <s v="Female"/>
    <n v="1"/>
    <n v="5"/>
    <n v="3"/>
    <n v="58709"/>
    <n v="19"/>
    <s v="Production Technician I"/>
    <x v="0"/>
    <n v="1810"/>
    <d v="1983-03-07T00:00:00"/>
    <n v="43"/>
    <s v="M "/>
    <s v="Single"/>
    <d v="2012-02-20T00:00:00"/>
    <x v="11"/>
    <s v="Production       "/>
    <s v="Kelley Spirea"/>
    <n v="18"/>
    <s v="Google Search"/>
    <n v="0"/>
    <n v="0"/>
    <n v="7"/>
  </r>
  <r>
    <s v="Barton, Nader"/>
    <n v="10066"/>
    <s v="Female"/>
    <n v="5"/>
    <n v="5"/>
    <n v="3"/>
    <n v="52505"/>
    <n v="19"/>
    <s v="Production Technician I"/>
    <x v="0"/>
    <n v="2747"/>
    <d v="1977-05-07T00:00:00"/>
    <n v="48"/>
    <s v="M "/>
    <s v="Divorced"/>
    <d v="2012-09-24T00:00:00"/>
    <x v="12"/>
    <s v="Production       "/>
    <s v="Michael Albert"/>
    <n v="22"/>
    <s v="On-line Web application"/>
    <n v="0"/>
    <n v="0"/>
    <n v="1"/>
  </r>
  <r>
    <s v="Bates, Norman"/>
    <n v="10061"/>
    <s v="Female"/>
    <n v="4"/>
    <n v="5"/>
    <n v="3"/>
    <n v="57834"/>
    <n v="19"/>
    <s v="Production Technician I"/>
    <x v="0"/>
    <n v="2050"/>
    <d v="1981-08-10T00:00:00"/>
    <n v="44"/>
    <s v="M "/>
    <s v="Single"/>
    <d v="2011-02-21T00:00:00"/>
    <x v="13"/>
    <s v="Production       "/>
    <s v="Kelley Spirea"/>
    <n v="18"/>
    <s v="Google Search"/>
    <n v="0"/>
    <n v="0"/>
    <n v="20"/>
  </r>
  <r>
    <s v="Beak, Kimberly  "/>
    <n v="10023"/>
    <s v="Male"/>
    <n v="2"/>
    <n v="5"/>
    <n v="4"/>
    <n v="70131"/>
    <n v="20"/>
    <s v="Production Technician II"/>
    <x v="0"/>
    <n v="2145"/>
    <d v="1966-07-04T00:00:00"/>
    <n v="59"/>
    <s v="F"/>
    <s v="Married"/>
    <d v="2016-07-21T00:00:00"/>
    <x v="14"/>
    <s v="Production       "/>
    <s v="Kelley Spirea"/>
    <n v="18"/>
    <s v="Employee Referral"/>
    <n v="0"/>
    <n v="0"/>
    <n v="16"/>
  </r>
  <r>
    <s v="Beatrice, Courtney "/>
    <n v="10055"/>
    <s v="Male"/>
    <n v="1"/>
    <n v="5"/>
    <n v="3"/>
    <n v="59026"/>
    <n v="19"/>
    <s v="Production Technician I"/>
    <x v="0"/>
    <n v="1915"/>
    <d v="1970-07-10T00:00:00"/>
    <n v="55"/>
    <s v="F"/>
    <s v="Single"/>
    <d v="2011-04-04T00:00:00"/>
    <x v="15"/>
    <s v="Production       "/>
    <s v="Elijiah Gray"/>
    <n v="16"/>
    <s v="Google Search"/>
    <n v="0"/>
    <n v="0"/>
    <n v="12"/>
  </r>
  <r>
    <s v="Becker, Renee"/>
    <n v="10245"/>
    <s v="Male"/>
    <n v="4"/>
    <n v="3"/>
    <n v="3"/>
    <n v="110000"/>
    <n v="8"/>
    <s v="Database Administrator"/>
    <x v="0"/>
    <n v="2026"/>
    <d v="1986-04-04T00:00:00"/>
    <n v="40"/>
    <s v="F"/>
    <s v="Single"/>
    <d v="2014-07-07T00:00:00"/>
    <x v="16"/>
    <s v="IT/IS"/>
    <s v="Simon Roup"/>
    <n v="4"/>
    <s v="Google Search"/>
    <n v="5"/>
    <n v="0"/>
    <n v="8"/>
  </r>
  <r>
    <s v="Becker, Scott"/>
    <n v="10277"/>
    <s v="Female"/>
    <n v="3"/>
    <n v="5"/>
    <n v="3"/>
    <n v="53250"/>
    <n v="19"/>
    <s v="Production Technician I"/>
    <x v="0"/>
    <n v="2452"/>
    <d v="1979-06-04T00:00:00"/>
    <n v="46"/>
    <s v="M "/>
    <s v="Single"/>
    <d v="2013-08-07T00:00:00"/>
    <x v="17"/>
    <s v="Production       "/>
    <s v="Webster Butler"/>
    <m/>
    <s v="LinkedIn"/>
    <n v="0"/>
    <n v="0"/>
    <n v="13"/>
  </r>
  <r>
    <s v="Bernstein, Sean"/>
    <n v="10046"/>
    <s v="Female"/>
    <n v="1"/>
    <n v="5"/>
    <n v="3"/>
    <n v="51044"/>
    <n v="19"/>
    <s v="Production Technician I"/>
    <x v="0"/>
    <n v="2072"/>
    <d v="1970-02-12T00:00:00"/>
    <n v="56"/>
    <s v="M "/>
    <s v="Single"/>
    <d v="2012-02-04T00:00:00"/>
    <x v="10"/>
    <s v="Production       "/>
    <s v="Amy Dunn"/>
    <n v="11"/>
    <s v="Google Search"/>
    <n v="0"/>
    <n v="0"/>
    <n v="13"/>
  </r>
  <r>
    <s v="Biden, Lowan  M"/>
    <n v="10226"/>
    <s v="Male"/>
    <n v="1"/>
    <n v="5"/>
    <n v="3"/>
    <n v="64919"/>
    <n v="19"/>
    <s v="Production Technician I"/>
    <x v="0"/>
    <n v="2027"/>
    <d v="1958-07-12T00:00:00"/>
    <n v="67"/>
    <s v="F"/>
    <s v="Divorced"/>
    <d v="2013-09-19T00:00:00"/>
    <x v="18"/>
    <s v="Production       "/>
    <s v="Ketsia Liebig"/>
    <n v="19"/>
    <s v="Indeed"/>
    <n v="0"/>
    <n v="0"/>
    <n v="2"/>
  </r>
  <r>
    <s v="Billis, Helen"/>
    <n v="10003"/>
    <s v="Male"/>
    <n v="1"/>
    <n v="5"/>
    <n v="4"/>
    <n v="62910"/>
    <n v="19"/>
    <s v="Production Technician I"/>
    <x v="0"/>
    <n v="2031"/>
    <d v="1989-01-09T00:00:00"/>
    <n v="37"/>
    <s v="F"/>
    <s v="Married"/>
    <d v="2014-07-07T00:00:00"/>
    <x v="16"/>
    <s v="Production       "/>
    <s v="Brannon Miller"/>
    <n v="12"/>
    <s v="Indeed"/>
    <n v="0"/>
    <n v="0"/>
    <n v="19"/>
  </r>
  <r>
    <s v="Blount, Dianna"/>
    <n v="10294"/>
    <s v="Male"/>
    <n v="1"/>
    <n v="5"/>
    <n v="2"/>
    <n v="66441"/>
    <n v="20"/>
    <s v="Production Technician II"/>
    <x v="0"/>
    <n v="2171"/>
    <d v="1990-11-09T00:00:00"/>
    <n v="35"/>
    <s v="F"/>
    <s v="Single"/>
    <d v="2011-04-04T00:00:00"/>
    <x v="15"/>
    <s v="Production       "/>
    <s v="Michael Albert"/>
    <n v="22"/>
    <s v="CareerBuilder"/>
    <n v="0"/>
    <n v="2"/>
    <n v="3"/>
  </r>
  <r>
    <s v="Bondwell, Betsy"/>
    <n v="10267"/>
    <s v="Male"/>
    <n v="5"/>
    <n v="5"/>
    <n v="3"/>
    <n v="57815"/>
    <n v="20"/>
    <s v="Production Technician II"/>
    <x v="0"/>
    <n v="2210"/>
    <d v="1967-06-01T00:00:00"/>
    <n v="58"/>
    <s v="F"/>
    <s v="Single"/>
    <d v="2011-10-01T00:00:00"/>
    <x v="9"/>
    <s v="Production       "/>
    <s v="Elijiah Gray"/>
    <n v="16"/>
    <s v="Google Search"/>
    <n v="0"/>
    <n v="0"/>
    <n v="5"/>
  </r>
  <r>
    <s v="Booth, Frank"/>
    <n v="10199"/>
    <s v="Female"/>
    <n v="4"/>
    <n v="3"/>
    <n v="3"/>
    <n v="103613"/>
    <n v="30"/>
    <s v="Enterprise Architect"/>
    <x v="2"/>
    <n v="6033"/>
    <d v="1964-03-07T00:00:00"/>
    <n v="62"/>
    <s v="M "/>
    <s v="Single"/>
    <d v="2014-02-17T00:00:00"/>
    <x v="19"/>
    <s v="IT/IS"/>
    <s v="Simon Roup"/>
    <n v="4"/>
    <s v="LinkedIn"/>
    <n v="7"/>
    <n v="0"/>
    <n v="2"/>
  </r>
  <r>
    <s v="Boutwell, Bonalyn"/>
    <n v="10081"/>
    <s v="Male"/>
    <n v="1"/>
    <n v="1"/>
    <n v="3"/>
    <n v="106367"/>
    <n v="26"/>
    <s v="Sr. Accountant"/>
    <x v="0"/>
    <n v="2468"/>
    <d v="1987-04-04T00:00:00"/>
    <n v="39"/>
    <s v="F"/>
    <s v="Married"/>
    <d v="2015-02-16T00:00:00"/>
    <x v="20"/>
    <s v="Admin Offices"/>
    <s v="Brandon R. LeBlanc"/>
    <n v="3"/>
    <s v="Diversity Job Fair"/>
    <n v="3"/>
    <n v="0"/>
    <n v="4"/>
  </r>
  <r>
    <s v="Bozzi, Charles"/>
    <n v="10175"/>
    <s v="Female"/>
    <n v="5"/>
    <n v="5"/>
    <n v="3"/>
    <n v="74312"/>
    <n v="18"/>
    <s v="Production Manager"/>
    <x v="0"/>
    <n v="1901"/>
    <d v="1970-10-03T00:00:00"/>
    <n v="55"/>
    <s v="M "/>
    <s v="Single"/>
    <d v="2013-09-30T00:00:00"/>
    <x v="6"/>
    <s v="Production       "/>
    <s v="Janet King"/>
    <n v="2"/>
    <s v="Indeed"/>
    <n v="0"/>
    <n v="0"/>
    <n v="14"/>
  </r>
  <r>
    <s v="Brill, Donna"/>
    <n v="10177"/>
    <s v="Male"/>
    <n v="5"/>
    <n v="5"/>
    <n v="3"/>
    <n v="53492"/>
    <n v="19"/>
    <s v="Production Technician I"/>
    <x v="0"/>
    <n v="1701"/>
    <d v="1990-04-08T00:00:00"/>
    <n v="36"/>
    <s v="F"/>
    <s v="Married"/>
    <d v="2012-02-04T00:00:00"/>
    <x v="10"/>
    <s v="Production       "/>
    <s v="David Stanley"/>
    <n v="14"/>
    <s v="Google Search"/>
    <n v="0"/>
    <n v="0"/>
    <n v="6"/>
  </r>
  <r>
    <s v="Brown, Mia"/>
    <n v="10238"/>
    <s v="Male"/>
    <n v="1"/>
    <n v="1"/>
    <n v="3"/>
    <n v="63000"/>
    <n v="1"/>
    <s v="Accountant I"/>
    <x v="0"/>
    <n v="1450"/>
    <d v="1987-04-11T00:00:00"/>
    <n v="38"/>
    <s v="F"/>
    <s v="Married"/>
    <d v="2008-10-27T00:00:00"/>
    <x v="21"/>
    <s v="Admin Offices"/>
    <s v="Brandon R. LeBlanc"/>
    <n v="1"/>
    <s v="Diversity Job Fair"/>
    <n v="6"/>
    <n v="0"/>
    <n v="14"/>
  </r>
  <r>
    <s v="Buccheri, Joseph  "/>
    <n v="10184"/>
    <s v="Female"/>
    <n v="1"/>
    <n v="5"/>
    <n v="3"/>
    <n v="65288"/>
    <n v="20"/>
    <s v="Production Technician II"/>
    <x v="0"/>
    <n v="1013"/>
    <d v="1983-08-07T00:00:00"/>
    <n v="42"/>
    <s v="M "/>
    <s v="Single"/>
    <d v="2014-09-29T00:00:00"/>
    <x v="22"/>
    <s v="Production       "/>
    <s v="Webster Butler"/>
    <m/>
    <s v="Google Search"/>
    <n v="0"/>
    <n v="0"/>
    <n v="9"/>
  </r>
  <r>
    <s v="Bugali, Josephine "/>
    <n v="10203"/>
    <s v="Male"/>
    <n v="3"/>
    <n v="5"/>
    <n v="3"/>
    <n v="64375"/>
    <n v="19"/>
    <s v="Production Technician I"/>
    <x v="0"/>
    <n v="2043"/>
    <d v="1969-03-10T00:00:00"/>
    <n v="57"/>
    <s v="F"/>
    <s v="Separated"/>
    <d v="2013-11-11T00:00:00"/>
    <x v="23"/>
    <s v="Production       "/>
    <s v="Kissy Sullivan"/>
    <n v="20"/>
    <s v="Diversity Job Fair"/>
    <n v="0"/>
    <n v="0"/>
    <n v="17"/>
  </r>
  <r>
    <s v="Bunbury, Jessica"/>
    <n v="10188"/>
    <s v="Male"/>
    <n v="5"/>
    <n v="6"/>
    <n v="3"/>
    <n v="74326"/>
    <n v="3"/>
    <s v="Area Sales Manager"/>
    <x v="3"/>
    <n v="21851"/>
    <d v="1964-01-06T00:00:00"/>
    <n v="62"/>
    <s v="F"/>
    <s v="Married"/>
    <d v="2011-08-15T00:00:00"/>
    <x v="24"/>
    <s v="Sales"/>
    <s v="John Smith"/>
    <n v="17"/>
    <s v="Google Search"/>
    <n v="0"/>
    <n v="1"/>
    <n v="19"/>
  </r>
  <r>
    <s v="Burke, Joelle"/>
    <n v="10107"/>
    <s v="Male"/>
    <n v="1"/>
    <n v="5"/>
    <n v="3"/>
    <n v="63763"/>
    <n v="20"/>
    <s v="Production Technician II"/>
    <x v="0"/>
    <n v="2148"/>
    <d v="1980-02-03T00:00:00"/>
    <n v="46"/>
    <s v="F"/>
    <s v="Single"/>
    <d v="2012-05-03T00:00:00"/>
    <x v="25"/>
    <s v="Production       "/>
    <s v="Amy Dunn"/>
    <n v="11"/>
    <s v="Employee Referral"/>
    <n v="0"/>
    <n v="0"/>
    <n v="3"/>
  </r>
  <r>
    <s v="Burkett, Benjamin "/>
    <n v="10181"/>
    <s v="Female"/>
    <n v="1"/>
    <n v="5"/>
    <n v="3"/>
    <n v="62162"/>
    <n v="20"/>
    <s v="Production Technician II"/>
    <x v="0"/>
    <n v="1890"/>
    <d v="1977-09-08T00:00:00"/>
    <n v="48"/>
    <s v="M "/>
    <s v="Married"/>
    <d v="2011-04-04T00:00:00"/>
    <x v="15"/>
    <s v="Production       "/>
    <s v="Ketsia Liebig"/>
    <n v="19"/>
    <s v="Indeed"/>
    <n v="0"/>
    <n v="0"/>
    <n v="15"/>
  </r>
  <r>
    <s v="Cady, Max "/>
    <n v="10150"/>
    <s v="Female"/>
    <n v="1"/>
    <n v="4"/>
    <n v="3"/>
    <n v="77692"/>
    <n v="25"/>
    <s v="Software Engineering Manager"/>
    <x v="0"/>
    <n v="2184"/>
    <d v="1966-02-11T00:00:00"/>
    <n v="60"/>
    <s v="M "/>
    <s v="Single"/>
    <d v="2011-08-15T00:00:00"/>
    <x v="24"/>
    <s v="Software Engineering"/>
    <s v="Jennifer Zamora"/>
    <n v="5"/>
    <s v="Google Search"/>
    <n v="5"/>
    <n v="0"/>
    <n v="4"/>
  </r>
  <r>
    <s v="Candie, Calvin"/>
    <n v="10001"/>
    <s v="Female"/>
    <n v="1"/>
    <n v="5"/>
    <n v="4"/>
    <n v="72640"/>
    <n v="18"/>
    <s v="Production Manager"/>
    <x v="0"/>
    <n v="2169"/>
    <d v="1983-09-08T00:00:00"/>
    <n v="42"/>
    <s v="M "/>
    <s v="Single"/>
    <d v="2016-01-28T00:00:00"/>
    <x v="26"/>
    <s v="Production       "/>
    <s v="Janet King"/>
    <n v="2"/>
    <s v="Indeed"/>
    <n v="0"/>
    <n v="0"/>
    <n v="14"/>
  </r>
  <r>
    <s v="Carabbio, Judith"/>
    <n v="10085"/>
    <s v="Male"/>
    <n v="1"/>
    <n v="4"/>
    <n v="3"/>
    <n v="93396"/>
    <n v="24"/>
    <s v="Software Engineer"/>
    <x v="0"/>
    <n v="2132"/>
    <d v="1987-05-04T00:00:00"/>
    <n v="38"/>
    <s v="F"/>
    <s v="Single"/>
    <d v="2013-11-11T00:00:00"/>
    <x v="23"/>
    <s v="Software Engineering"/>
    <s v="Alex Sweetwater"/>
    <n v="10"/>
    <s v="Indeed"/>
    <n v="6"/>
    <n v="0"/>
    <n v="3"/>
  </r>
  <r>
    <s v="Carey, Michael  "/>
    <n v="10115"/>
    <s v="Female"/>
    <n v="1"/>
    <n v="5"/>
    <n v="3"/>
    <n v="52846"/>
    <n v="19"/>
    <s v="Production Technician I"/>
    <x v="0"/>
    <n v="1701"/>
    <d v="1983-02-02T00:00:00"/>
    <n v="43"/>
    <s v="M "/>
    <s v="Single"/>
    <d v="2014-03-31T00:00:00"/>
    <x v="27"/>
    <s v="Production       "/>
    <s v="Kelley Spirea"/>
    <n v="18"/>
    <s v="LinkedIn"/>
    <n v="0"/>
    <n v="0"/>
    <n v="14"/>
  </r>
  <r>
    <s v="Carr, Claudia  N"/>
    <n v="10082"/>
    <s v="Male"/>
    <n v="2"/>
    <n v="3"/>
    <n v="3"/>
    <n v="100031"/>
    <n v="27"/>
    <s v="Sr. DBA"/>
    <x v="0"/>
    <n v="1886"/>
    <d v="1986-06-06T00:00:00"/>
    <n v="39"/>
    <s v="F"/>
    <s v="Single"/>
    <d v="2016-06-30T00:00:00"/>
    <x v="28"/>
    <s v="IT/IS"/>
    <s v="Simon Roup"/>
    <n v="4"/>
    <s v="LinkedIn"/>
    <n v="6"/>
    <n v="0"/>
    <n v="7"/>
  </r>
  <r>
    <s v="Carter, Michelle "/>
    <n v="10040"/>
    <s v="Male"/>
    <n v="1"/>
    <n v="6"/>
    <n v="3"/>
    <n v="71860"/>
    <n v="3"/>
    <s v="Area Sales Manager"/>
    <x v="4"/>
    <n v="5664"/>
    <d v="1963-05-05T00:00:00"/>
    <n v="62"/>
    <s v="F"/>
    <s v="Single"/>
    <d v="2014-08-18T00:00:00"/>
    <x v="29"/>
    <s v="Sales"/>
    <s v="John Smith"/>
    <n v="17"/>
    <s v="Indeed"/>
    <n v="0"/>
    <n v="0"/>
    <n v="7"/>
  </r>
  <r>
    <s v="Chace, Beatrice "/>
    <n v="10067"/>
    <s v="Male"/>
    <n v="1"/>
    <n v="5"/>
    <n v="3"/>
    <n v="61656"/>
    <n v="19"/>
    <s v="Production Technician I"/>
    <x v="0"/>
    <n v="2763"/>
    <d v="1951-02-01T00:00:00"/>
    <n v="75"/>
    <s v="F"/>
    <s v="Single"/>
    <d v="2014-09-29T00:00:00"/>
    <x v="22"/>
    <s v="Production       "/>
    <s v="Michael Albert"/>
    <n v="22"/>
    <s v="Google Search"/>
    <n v="0"/>
    <n v="0"/>
    <n v="11"/>
  </r>
  <r>
    <s v="Champaigne, Brian"/>
    <n v="10108"/>
    <s v="Female"/>
    <n v="1"/>
    <n v="3"/>
    <n v="3"/>
    <n v="110929"/>
    <n v="5"/>
    <s v="BI Director"/>
    <x v="0"/>
    <n v="2045"/>
    <d v="1972-09-02T00:00:00"/>
    <n v="53"/>
    <s v="M "/>
    <s v="Married"/>
    <d v="2016-06-09T00:00:00"/>
    <x v="30"/>
    <s v="IT/IS"/>
    <s v="Jennifer Zamora"/>
    <n v="5"/>
    <s v="Indeed"/>
    <n v="7"/>
    <n v="0"/>
    <n v="8"/>
  </r>
  <r>
    <s v="Chan, Lin"/>
    <n v="10210"/>
    <s v="Male"/>
    <n v="1"/>
    <n v="5"/>
    <n v="3"/>
    <n v="54237"/>
    <n v="19"/>
    <s v="Production Technician I"/>
    <x v="0"/>
    <n v="2170"/>
    <d v="1979-12-02T00:00:00"/>
    <n v="46"/>
    <s v="F"/>
    <s v="Single"/>
    <d v="2014-12-05T00:00:00"/>
    <x v="31"/>
    <s v="Production       "/>
    <s v="Elijiah Gray"/>
    <n v="16"/>
    <s v="Indeed"/>
    <n v="0"/>
    <n v="0"/>
    <n v="11"/>
  </r>
  <r>
    <s v="Chang, Donovan  E"/>
    <n v="10154"/>
    <s v="Female"/>
    <n v="1"/>
    <n v="5"/>
    <n v="3"/>
    <n v="60380"/>
    <n v="19"/>
    <s v="Production Technician I"/>
    <x v="0"/>
    <n v="1845"/>
    <d v="1983-04-08T00:00:00"/>
    <n v="43"/>
    <s v="M "/>
    <s v="Single"/>
    <d v="2013-08-07T00:00:00"/>
    <x v="17"/>
    <s v="Production       "/>
    <s v="Webster Butler"/>
    <m/>
    <s v="LinkedIn"/>
    <n v="0"/>
    <n v="0"/>
    <n v="4"/>
  </r>
  <r>
    <s v="Chigurh, Anton"/>
    <n v="10200"/>
    <s v="Female"/>
    <n v="1"/>
    <n v="6"/>
    <n v="3"/>
    <n v="66808"/>
    <n v="3"/>
    <s v="Area Sales Manager"/>
    <x v="1"/>
    <n v="78207"/>
    <d v="1970-11-06T00:00:00"/>
    <n v="55"/>
    <s v="M "/>
    <s v="Single"/>
    <d v="2012-05-14T00:00:00"/>
    <x v="32"/>
    <s v="Sales"/>
    <s v="Lynn Daneault"/>
    <n v="21"/>
    <s v="Employee Referral"/>
    <n v="0"/>
    <n v="0"/>
    <n v="17"/>
  </r>
  <r>
    <s v="Chivukula, Enola"/>
    <n v="10240"/>
    <s v="Male"/>
    <n v="5"/>
    <n v="5"/>
    <n v="3"/>
    <n v="64786"/>
    <n v="19"/>
    <s v="Production Technician I"/>
    <x v="0"/>
    <n v="1775"/>
    <d v="1983-07-08T00:00:00"/>
    <n v="42"/>
    <s v="F"/>
    <s v="Single"/>
    <d v="2011-06-27T00:00:00"/>
    <x v="33"/>
    <s v="Production       "/>
    <s v="Amy Dunn"/>
    <n v="11"/>
    <s v="Indeed"/>
    <n v="0"/>
    <n v="0"/>
    <n v="3"/>
  </r>
  <r>
    <s v="Cierpiszewski, Caroline  "/>
    <n v="10168"/>
    <s v="Male"/>
    <n v="1"/>
    <n v="5"/>
    <n v="3"/>
    <n v="64816"/>
    <n v="19"/>
    <s v="Production Technician I"/>
    <x v="0"/>
    <n v="2044"/>
    <d v="1988-11-05T00:00:00"/>
    <n v="37"/>
    <s v="F"/>
    <s v="Single"/>
    <d v="2011-03-10T00:00:00"/>
    <x v="34"/>
    <s v="Production       "/>
    <s v="Ketsia Liebig"/>
    <n v="19"/>
    <s v="Indeed"/>
    <n v="0"/>
    <n v="0"/>
    <n v="3"/>
  </r>
  <r>
    <s v="Clayton, Rick"/>
    <n v="10220"/>
    <s v="Female"/>
    <n v="1"/>
    <n v="3"/>
    <n v="3"/>
    <n v="68678"/>
    <n v="14"/>
    <s v="IT Support"/>
    <x v="0"/>
    <n v="2170"/>
    <d v="1985-05-09T00:00:00"/>
    <n v="40"/>
    <s v="M "/>
    <s v="Single"/>
    <d v="2012-05-09T00:00:00"/>
    <x v="35"/>
    <s v="IT/IS"/>
    <s v="Eric Dougall"/>
    <n v="6"/>
    <s v="Indeed"/>
    <n v="6"/>
    <n v="0"/>
    <n v="2"/>
  </r>
  <r>
    <s v="Cloninger, Jennifer"/>
    <n v="10275"/>
    <s v="Male"/>
    <n v="5"/>
    <n v="5"/>
    <n v="3"/>
    <n v="64066"/>
    <n v="20"/>
    <s v="Production Technician II"/>
    <x v="0"/>
    <n v="1752"/>
    <d v="1981-11-08T00:00:00"/>
    <n v="44"/>
    <s v="F"/>
    <s v="Married"/>
    <d v="2011-05-16T00:00:00"/>
    <x v="36"/>
    <s v="Production       "/>
    <s v="Brannon Miller"/>
    <n v="12"/>
    <s v="Google Search"/>
    <n v="0"/>
    <n v="0"/>
    <n v="9"/>
  </r>
  <r>
    <s v="Close, Phil"/>
    <n v="10269"/>
    <s v="Female"/>
    <n v="5"/>
    <n v="5"/>
    <n v="3"/>
    <n v="59369"/>
    <n v="20"/>
    <s v="Production Technician II"/>
    <x v="0"/>
    <n v="2169"/>
    <d v="1978-05-11T00:00:00"/>
    <n v="47"/>
    <s v="M "/>
    <s v="Married"/>
    <d v="2010-08-30T00:00:00"/>
    <x v="37"/>
    <s v="Production       "/>
    <s v="David Stanley"/>
    <n v="14"/>
    <s v="Indeed"/>
    <n v="0"/>
    <n v="0"/>
    <n v="6"/>
  </r>
  <r>
    <s v="Clukey, Elijian"/>
    <n v="10029"/>
    <s v="Female"/>
    <n v="2"/>
    <n v="5"/>
    <n v="4"/>
    <n v="50373"/>
    <n v="19"/>
    <s v="Production Technician I"/>
    <x v="0"/>
    <n v="2134"/>
    <d v="1980-06-08T00:00:00"/>
    <n v="45"/>
    <s v="M "/>
    <s v="Married"/>
    <d v="2016-06-07T00:00:00"/>
    <x v="38"/>
    <s v="Production       "/>
    <s v="Brannon Miller"/>
    <n v="12"/>
    <s v="Employee Referral"/>
    <n v="0"/>
    <n v="0"/>
    <n v="5"/>
  </r>
  <r>
    <s v="Cockel, James"/>
    <n v="10261"/>
    <s v="Female"/>
    <n v="1"/>
    <n v="5"/>
    <n v="3"/>
    <n v="63108"/>
    <n v="19"/>
    <s v="Production Technician I"/>
    <x v="0"/>
    <n v="2452"/>
    <d v="1977-08-09T00:00:00"/>
    <n v="48"/>
    <s v="M "/>
    <s v="Single"/>
    <d v="2013-08-07T00:00:00"/>
    <x v="17"/>
    <s v="Production       "/>
    <s v="David Stanley"/>
    <n v="14"/>
    <s v="Employee Referral"/>
    <n v="0"/>
    <n v="0"/>
    <n v="3"/>
  </r>
  <r>
    <s v="Cole, Spencer"/>
    <n v="10292"/>
    <s v="Female"/>
    <n v="4"/>
    <n v="5"/>
    <n v="2"/>
    <n v="59144"/>
    <n v="19"/>
    <s v="Production Technician I"/>
    <x v="0"/>
    <n v="1880"/>
    <d v="1979-12-08T00:00:00"/>
    <n v="46"/>
    <s v="M "/>
    <s v="Single"/>
    <d v="2011-11-07T00:00:00"/>
    <x v="3"/>
    <s v="Production       "/>
    <s v="Kissy Sullivan"/>
    <n v="20"/>
    <s v="LinkedIn"/>
    <n v="0"/>
    <n v="5"/>
    <n v="16"/>
  </r>
  <r>
    <s v="Corleone, Michael"/>
    <n v="10282"/>
    <s v="Female"/>
    <n v="1"/>
    <n v="5"/>
    <n v="2"/>
    <n v="68051"/>
    <n v="18"/>
    <s v="Production Manager"/>
    <x v="0"/>
    <n v="1803"/>
    <d v="1975-07-12T00:00:00"/>
    <n v="50"/>
    <s v="M "/>
    <s v="Divorced"/>
    <d v="2010-07-20T00:00:00"/>
    <x v="39"/>
    <s v="Production       "/>
    <s v="Janet King"/>
    <n v="2"/>
    <s v="CareerBuilder"/>
    <n v="0"/>
    <n v="3"/>
    <n v="3"/>
  </r>
  <r>
    <s v="Corleone, Vito"/>
    <n v="10019"/>
    <s v="Female"/>
    <n v="1"/>
    <n v="5"/>
    <n v="4"/>
    <n v="170500"/>
    <n v="10"/>
    <s v="Director of Operations"/>
    <x v="0"/>
    <n v="2030"/>
    <d v="1983-09-03T00:00:00"/>
    <n v="42"/>
    <s v="M "/>
    <s v="Single"/>
    <d v="2009-05-01T00:00:00"/>
    <x v="40"/>
    <s v="Production       "/>
    <s v="Janet King"/>
    <n v="2"/>
    <s v="Indeed"/>
    <n v="0"/>
    <n v="0"/>
    <n v="15"/>
  </r>
  <r>
    <s v="Cornett, Lisa "/>
    <n v="10094"/>
    <s v="Male"/>
    <n v="1"/>
    <n v="5"/>
    <n v="3"/>
    <n v="63381"/>
    <n v="19"/>
    <s v="Production Technician I"/>
    <x v="0"/>
    <n v="2189"/>
    <d v="1977-11-03T00:00:00"/>
    <n v="48"/>
    <s v="F"/>
    <s v="Married"/>
    <d v="2015-05-01T00:00:00"/>
    <x v="8"/>
    <s v="Production       "/>
    <s v="Kelley Spirea"/>
    <n v="18"/>
    <s v="Indeed"/>
    <n v="0"/>
    <n v="0"/>
    <n v="6"/>
  </r>
  <r>
    <s v="Costello, Frank"/>
    <n v="10193"/>
    <s v="Female"/>
    <n v="1"/>
    <n v="3"/>
    <n v="3"/>
    <n v="83552"/>
    <n v="9"/>
    <s v="Data Analyst"/>
    <x v="0"/>
    <n v="1810"/>
    <d v="1986-06-08T00:00:00"/>
    <n v="39"/>
    <s v="M "/>
    <s v="Married"/>
    <d v="2015-03-30T00:00:00"/>
    <x v="1"/>
    <s v="IT/IS"/>
    <s v="Simon Roup"/>
    <n v="4"/>
    <s v="Indeed"/>
    <n v="6"/>
    <n v="0"/>
    <n v="2"/>
  </r>
  <r>
    <s v="Crimmings,   Jean"/>
    <n v="10132"/>
    <s v="Male"/>
    <n v="2"/>
    <n v="5"/>
    <n v="3"/>
    <n v="56149"/>
    <n v="19"/>
    <s v="Production Technician I"/>
    <x v="0"/>
    <n v="1821"/>
    <d v="1987-10-04T00:00:00"/>
    <n v="38"/>
    <s v="F"/>
    <s v="Single"/>
    <d v="2016-06-07T00:00:00"/>
    <x v="38"/>
    <s v="Production       "/>
    <s v="Michael Albert"/>
    <n v="22"/>
    <s v="LinkedIn"/>
    <n v="0"/>
    <n v="0"/>
    <n v="15"/>
  </r>
  <r>
    <s v="Cross, Noah"/>
    <n v="10083"/>
    <s v="Female"/>
    <n v="1"/>
    <n v="3"/>
    <n v="3"/>
    <n v="92329"/>
    <n v="28"/>
    <s v="Sr. Network Engineer"/>
    <x v="2"/>
    <n v="6278"/>
    <d v="1965-09-09T00:00:00"/>
    <n v="60"/>
    <s v="M "/>
    <s v="Single"/>
    <d v="2014-10-11T00:00:00"/>
    <x v="5"/>
    <s v="IT/IS"/>
    <s v="Peter Monroe"/>
    <n v="7"/>
    <s v="Employee Referral"/>
    <n v="4"/>
    <n v="0"/>
    <n v="5"/>
  </r>
  <r>
    <s v="Daneault, Lynn"/>
    <n v="10099"/>
    <s v="Male"/>
    <n v="1"/>
    <n v="6"/>
    <n v="3"/>
    <n v="65729"/>
    <n v="21"/>
    <s v="Sales Manager"/>
    <x v="4"/>
    <n v="5473"/>
    <d v="1990-09-04T00:00:00"/>
    <n v="35"/>
    <s v="F"/>
    <s v="Single"/>
    <d v="2014-05-05T00:00:00"/>
    <x v="41"/>
    <s v="Sales"/>
    <s v="Debra Houlihan"/>
    <n v="15"/>
    <s v="Indeed"/>
    <n v="0"/>
    <n v="0"/>
    <n v="8"/>
  </r>
  <r>
    <s v="Daniele, Ann  "/>
    <n v="10212"/>
    <s v="Male"/>
    <n v="3"/>
    <n v="3"/>
    <n v="3"/>
    <n v="85028"/>
    <n v="28"/>
    <s v="Sr. Network Engineer"/>
    <x v="2"/>
    <n v="6033"/>
    <d v="1952-08-01T00:00:00"/>
    <n v="73"/>
    <s v="F"/>
    <s v="Married"/>
    <d v="2014-10-11T00:00:00"/>
    <x v="5"/>
    <s v="IT/IS"/>
    <s v="Peter Monroe"/>
    <n v="7"/>
    <s v="LinkedIn"/>
    <n v="8"/>
    <n v="0"/>
    <n v="19"/>
  </r>
  <r>
    <s v="Darson, Jene'ya "/>
    <n v="10056"/>
    <s v="Male"/>
    <n v="1"/>
    <n v="5"/>
    <n v="3"/>
    <n v="57583"/>
    <n v="19"/>
    <s v="Production Technician I"/>
    <x v="0"/>
    <n v="2110"/>
    <d v="1978-05-11T00:00:00"/>
    <n v="47"/>
    <s v="F"/>
    <s v="Married"/>
    <d v="2012-02-07T00:00:00"/>
    <x v="42"/>
    <s v="Production       "/>
    <s v="Elijiah Gray"/>
    <n v="16"/>
    <s v="Indeed"/>
    <n v="0"/>
    <n v="0"/>
    <n v="1"/>
  </r>
  <r>
    <s v="Davis, Daniel"/>
    <n v="10143"/>
    <s v="Female"/>
    <n v="1"/>
    <n v="5"/>
    <n v="3"/>
    <n v="56294"/>
    <n v="20"/>
    <s v="Production Technician II"/>
    <x v="0"/>
    <n v="2458"/>
    <d v="1979-04-09T00:00:00"/>
    <n v="47"/>
    <s v="M "/>
    <s v="Single"/>
    <d v="2011-07-11T00:00:00"/>
    <x v="43"/>
    <s v="Production       "/>
    <s v="Kissy Sullivan"/>
    <n v="20"/>
    <s v="LinkedIn"/>
    <n v="0"/>
    <n v="0"/>
    <n v="6"/>
  </r>
  <r>
    <s v="Dee, Randy"/>
    <n v="10311"/>
    <s v="Female"/>
    <n v="1"/>
    <n v="6"/>
    <n v="1"/>
    <n v="56991"/>
    <n v="19"/>
    <s v="Production Technician I"/>
    <x v="0"/>
    <n v="2138"/>
    <d v="1988-05-04T00:00:00"/>
    <n v="37"/>
    <s v="M "/>
    <s v="Married"/>
    <d v="2018-09-07T00:00:00"/>
    <x v="44"/>
    <s v="Production       "/>
    <s v="Brannon Miller"/>
    <n v="12"/>
    <s v="Indeed"/>
    <n v="3"/>
    <n v="2"/>
    <n v="2"/>
  </r>
  <r>
    <s v="DeGweck,  James"/>
    <n v="10070"/>
    <s v="Female"/>
    <n v="5"/>
    <n v="5"/>
    <n v="3"/>
    <n v="55722"/>
    <n v="19"/>
    <s v="Production Technician I"/>
    <x v="0"/>
    <n v="1810"/>
    <d v="1977-11-10T00:00:00"/>
    <n v="48"/>
    <s v="M "/>
    <s v="Married"/>
    <d v="2011-05-16T00:00:00"/>
    <x v="36"/>
    <s v="Production       "/>
    <s v="Webster Butler"/>
    <n v="39"/>
    <s v="Indeed"/>
    <n v="0"/>
    <n v="0"/>
    <n v="14"/>
  </r>
  <r>
    <s v="Del Bosque, Keyla"/>
    <n v="10155"/>
    <s v="Male"/>
    <n v="1"/>
    <n v="4"/>
    <n v="3"/>
    <n v="101199"/>
    <n v="24"/>
    <s v="Software Engineer"/>
    <x v="0"/>
    <n v="2176"/>
    <d v="1979-05-07T00:00:00"/>
    <n v="46"/>
    <s v="F"/>
    <s v="Single"/>
    <d v="2012-09-01T00:00:00"/>
    <x v="4"/>
    <s v="Software Engineering"/>
    <s v="Alex Sweetwater"/>
    <n v="10"/>
    <s v="CareerBuilder"/>
    <n v="5"/>
    <n v="0"/>
    <n v="8"/>
  </r>
  <r>
    <s v="Delarge, Alex"/>
    <n v="10306"/>
    <s v="Female"/>
    <n v="1"/>
    <n v="6"/>
    <n v="1"/>
    <n v="61568"/>
    <n v="3"/>
    <s v="Area Sales Manager"/>
    <x v="5"/>
    <n v="36006"/>
    <d v="1975-02-11T00:00:00"/>
    <n v="51"/>
    <s v="M "/>
    <s v="Single"/>
    <d v="2014-09-29T00:00:00"/>
    <x v="22"/>
    <s v="Sales"/>
    <s v="John Smith"/>
    <n v="17"/>
    <s v="Indeed"/>
    <n v="0"/>
    <n v="6"/>
    <n v="5"/>
  </r>
  <r>
    <s v="Demita, Carla"/>
    <n v="10100"/>
    <s v="Male"/>
    <n v="5"/>
    <n v="5"/>
    <n v="3"/>
    <n v="58275"/>
    <n v="20"/>
    <s v="Production Technician II"/>
    <x v="0"/>
    <n v="2343"/>
    <d v="1951-05-02T00:00:00"/>
    <n v="74"/>
    <s v="F"/>
    <s v="Separated"/>
    <d v="2011-04-04T00:00:00"/>
    <x v="15"/>
    <s v="Production       "/>
    <s v="Kelley Spirea"/>
    <n v="18"/>
    <s v="Google Search"/>
    <n v="0"/>
    <n v="0"/>
    <n v="1"/>
  </r>
  <r>
    <s v="Desimone, Carl "/>
    <n v="10310"/>
    <s v="Female"/>
    <n v="1"/>
    <n v="5"/>
    <n v="1"/>
    <n v="53189"/>
    <n v="19"/>
    <s v="Production Technician I"/>
    <x v="0"/>
    <n v="2061"/>
    <d v="1967-09-04T00:00:00"/>
    <n v="58"/>
    <s v="M "/>
    <s v="Married"/>
    <d v="2014-07-07T00:00:00"/>
    <x v="16"/>
    <s v="Production       "/>
    <s v="Amy Dunn"/>
    <n v="11"/>
    <s v="Indeed"/>
    <n v="0"/>
    <n v="4"/>
    <n v="9"/>
  </r>
  <r>
    <s v="DeVito, Tommy"/>
    <n v="10197"/>
    <s v="Female"/>
    <n v="1"/>
    <n v="3"/>
    <n v="3"/>
    <n v="96820"/>
    <n v="4"/>
    <s v="BI Developer"/>
    <x v="0"/>
    <n v="2045"/>
    <d v="1983-04-09T00:00:00"/>
    <n v="43"/>
    <s v="M "/>
    <s v="Single"/>
    <d v="2017-02-15T00:00:00"/>
    <x v="45"/>
    <s v="IT/IS"/>
    <s v="Brian Champaigne"/>
    <n v="13"/>
    <s v="Indeed"/>
    <n v="7"/>
    <n v="0"/>
    <n v="15"/>
  </r>
  <r>
    <s v="Dickinson, Geoff "/>
    <n v="10276"/>
    <s v="Female"/>
    <n v="1"/>
    <n v="5"/>
    <n v="3"/>
    <n v="51259"/>
    <n v="19"/>
    <s v="Production Technician I"/>
    <x v="0"/>
    <n v="2180"/>
    <d v="1982-05-11T00:00:00"/>
    <n v="43"/>
    <s v="M "/>
    <s v="Single"/>
    <d v="2014-12-05T00:00:00"/>
    <x v="31"/>
    <s v="Production       "/>
    <s v="Ketsia Liebig"/>
    <n v="19"/>
    <s v="Indeed"/>
    <n v="0"/>
    <n v="0"/>
    <n v="1"/>
  </r>
  <r>
    <s v="Dietrich, Jenna  "/>
    <n v="10304"/>
    <s v="Male"/>
    <n v="1"/>
    <n v="6"/>
    <n v="1"/>
    <n v="59231"/>
    <n v="3"/>
    <s v="Area Sales Manager"/>
    <x v="6"/>
    <n v="98052"/>
    <d v="1987-04-05T00:00:00"/>
    <n v="39"/>
    <s v="F"/>
    <s v="Single"/>
    <d v="2012-02-20T00:00:00"/>
    <x v="11"/>
    <s v="Sales"/>
    <s v="John Smith"/>
    <n v="17"/>
    <s v="Website"/>
    <n v="0"/>
    <n v="2"/>
    <n v="17"/>
  </r>
  <r>
    <s v="DiNocco, Lily "/>
    <n v="10284"/>
    <s v="Male"/>
    <n v="1"/>
    <n v="5"/>
    <n v="2"/>
    <n v="61584"/>
    <n v="19"/>
    <s v="Production Technician I"/>
    <x v="0"/>
    <n v="2351"/>
    <d v="1978-02-12T00:00:00"/>
    <n v="48"/>
    <s v="F"/>
    <s v="Married"/>
    <d v="2013-07-01T00:00:00"/>
    <x v="46"/>
    <s v="Production       "/>
    <s v="Brannon Miller"/>
    <n v="12"/>
    <s v="Indeed"/>
    <n v="0"/>
    <n v="0"/>
    <n v="6"/>
  </r>
  <r>
    <s v="Dobrin, Denisa  S"/>
    <n v="10207"/>
    <s v="Male"/>
    <n v="1"/>
    <n v="5"/>
    <n v="3"/>
    <n v="46335"/>
    <n v="19"/>
    <s v="Production Technician I"/>
    <x v="0"/>
    <n v="2125"/>
    <d v="1986-07-10T00:00:00"/>
    <n v="39"/>
    <s v="F"/>
    <s v="Single"/>
    <d v="2012-02-04T00:00:00"/>
    <x v="10"/>
    <s v="Production       "/>
    <s v="David Stanley"/>
    <n v="14"/>
    <s v="CareerBuilder"/>
    <n v="0"/>
    <n v="0"/>
    <n v="15"/>
  </r>
  <r>
    <s v="Dolan, Linda"/>
    <n v="10133"/>
    <s v="Male"/>
    <n v="1"/>
    <n v="3"/>
    <n v="3"/>
    <n v="70621"/>
    <n v="14"/>
    <s v="IT Support"/>
    <x v="0"/>
    <n v="2119"/>
    <d v="1988-08-07T00:00:00"/>
    <n v="37"/>
    <s v="F"/>
    <s v="Married"/>
    <d v="2015-05-01T00:00:00"/>
    <x v="8"/>
    <s v="IT/IS"/>
    <s v="Peter Monroe"/>
    <n v="7"/>
    <s v="Employee Referral"/>
    <n v="6"/>
    <n v="0"/>
    <n v="16"/>
  </r>
  <r>
    <s v="Dougall, Eric"/>
    <n v="10028"/>
    <s v="Female"/>
    <n v="1"/>
    <n v="3"/>
    <n v="4"/>
    <n v="138888"/>
    <n v="13"/>
    <s v="IT Manager - Support"/>
    <x v="0"/>
    <n v="1886"/>
    <d v="1970-09-07T00:00:00"/>
    <n v="55"/>
    <s v="M "/>
    <s v="Single"/>
    <d v="2014-05-01T00:00:00"/>
    <x v="47"/>
    <s v="IT/IS"/>
    <s v="Jennifer Zamora"/>
    <n v="5"/>
    <s v="Indeed"/>
    <n v="5"/>
    <n v="0"/>
    <n v="4"/>
  </r>
  <r>
    <s v="Driver, Elle"/>
    <n v="10006"/>
    <s v="Male"/>
    <n v="1"/>
    <n v="6"/>
    <n v="4"/>
    <n v="74241"/>
    <n v="3"/>
    <s v="Area Sales Manager"/>
    <x v="7"/>
    <n v="90007"/>
    <d v="1988-08-11T00:00:00"/>
    <n v="37"/>
    <s v="F"/>
    <s v="Single"/>
    <d v="2011-10-01T00:00:00"/>
    <x v="9"/>
    <s v="Sales"/>
    <s v="Lynn Daneault"/>
    <n v="21"/>
    <s v="Indeed"/>
    <n v="0"/>
    <n v="0"/>
    <n v="14"/>
  </r>
  <r>
    <s v="Dunn, Amy  "/>
    <n v="10105"/>
    <s v="Male"/>
    <n v="1"/>
    <n v="5"/>
    <n v="3"/>
    <n v="75188"/>
    <n v="18"/>
    <s v="Production Manager"/>
    <x v="0"/>
    <n v="1731"/>
    <d v="1973-08-11T00:00:00"/>
    <n v="52"/>
    <s v="F"/>
    <s v="Single"/>
    <d v="2014-09-18T00:00:00"/>
    <x v="48"/>
    <s v="Production       "/>
    <s v="Janet King"/>
    <n v="2"/>
    <s v="Google Search"/>
    <n v="0"/>
    <n v="0"/>
    <n v="4"/>
  </r>
  <r>
    <s v="Dunne, Amy"/>
    <n v="10211"/>
    <s v="Male"/>
    <n v="1"/>
    <n v="5"/>
    <n v="3"/>
    <n v="62514"/>
    <n v="19"/>
    <s v="Production Technician I"/>
    <x v="0"/>
    <n v="1749"/>
    <d v="1973-03-09T00:00:00"/>
    <n v="53"/>
    <s v="F"/>
    <s v="Married"/>
    <d v="2010-04-26T00:00:00"/>
    <x v="49"/>
    <s v="Production       "/>
    <s v="Ketsia Liebig"/>
    <n v="19"/>
    <s v="Google Search"/>
    <n v="0"/>
    <n v="0"/>
    <n v="6"/>
  </r>
  <r>
    <s v="Eaton, Marianne"/>
    <n v="10064"/>
    <s v="Male"/>
    <n v="5"/>
    <n v="5"/>
    <n v="3"/>
    <n v="60070"/>
    <n v="19"/>
    <s v="Production Technician I"/>
    <x v="0"/>
    <n v="2343"/>
    <d v="1991-05-09T00:00:00"/>
    <n v="34"/>
    <s v="F"/>
    <s v="Married"/>
    <d v="2011-04-04T00:00:00"/>
    <x v="15"/>
    <s v="Production       "/>
    <s v="Kissy Sullivan"/>
    <n v="20"/>
    <s v="Google Search"/>
    <n v="0"/>
    <n v="0"/>
    <n v="7"/>
  </r>
  <r>
    <s v="Engdahl, Jean"/>
    <n v="10247"/>
    <s v="Female"/>
    <n v="1"/>
    <n v="5"/>
    <n v="3"/>
    <n v="48888"/>
    <n v="19"/>
    <s v="Production Technician I"/>
    <x v="0"/>
    <n v="2026"/>
    <d v="1974-11-05T00:00:00"/>
    <n v="51"/>
    <s v="M "/>
    <s v="Single"/>
    <d v="2014-10-11T00:00:00"/>
    <x v="5"/>
    <s v="Production       "/>
    <s v="Kelley Spirea"/>
    <n v="18"/>
    <s v="LinkedIn"/>
    <n v="0"/>
    <n v="0"/>
    <n v="8"/>
  </r>
  <r>
    <s v="England, Rex"/>
    <n v="10235"/>
    <s v="Female"/>
    <n v="1"/>
    <n v="5"/>
    <n v="3"/>
    <n v="54285"/>
    <n v="19"/>
    <s v="Production Technician I"/>
    <x v="0"/>
    <n v="2045"/>
    <d v="1978-05-08T00:00:00"/>
    <n v="47"/>
    <s v="M "/>
    <s v="Married"/>
    <d v="2014-03-31T00:00:00"/>
    <x v="27"/>
    <s v="Production       "/>
    <s v="Kelley Spirea"/>
    <n v="18"/>
    <s v="Employee Referral"/>
    <n v="0"/>
    <n v="0"/>
    <n v="3"/>
  </r>
  <r>
    <s v="Erilus, Angela"/>
    <n v="10299"/>
    <s v="Male"/>
    <n v="1"/>
    <n v="5"/>
    <n v="1"/>
    <n v="56847"/>
    <n v="20"/>
    <s v="Production Technician II"/>
    <x v="0"/>
    <n v="2133"/>
    <d v="1989-05-08T00:00:00"/>
    <n v="36"/>
    <s v="F"/>
    <s v="Separated"/>
    <d v="2014-07-07T00:00:00"/>
    <x v="16"/>
    <s v="Production       "/>
    <s v="Michael Albert"/>
    <n v="22"/>
    <s v="Indeed"/>
    <n v="0"/>
    <n v="2"/>
    <n v="5"/>
  </r>
  <r>
    <s v="Estremera, Miguel"/>
    <n v="10280"/>
    <s v="Female"/>
    <n v="4"/>
    <n v="5"/>
    <n v="2"/>
    <n v="60340"/>
    <n v="19"/>
    <s v="Production Technician I"/>
    <x v="0"/>
    <n v="2129"/>
    <d v="1983-02-09T00:00:00"/>
    <n v="43"/>
    <s v="M "/>
    <s v="Single"/>
    <d v="2012-02-04T00:00:00"/>
    <x v="10"/>
    <s v="Production       "/>
    <s v="Michael Albert"/>
    <n v="22"/>
    <s v="Google Search"/>
    <n v="0"/>
    <n v="5"/>
    <n v="16"/>
  </r>
  <r>
    <s v="Evensen, April"/>
    <n v="10296"/>
    <s v="Male"/>
    <n v="4"/>
    <n v="5"/>
    <n v="2"/>
    <n v="59124"/>
    <n v="19"/>
    <s v="Production Technician I"/>
    <x v="0"/>
    <n v="2458"/>
    <d v="1989-06-05T00:00:00"/>
    <n v="36"/>
    <s v="F"/>
    <s v="Single"/>
    <d v="2014-02-17T00:00:00"/>
    <x v="19"/>
    <s v="Production       "/>
    <s v="Elijiah Gray"/>
    <n v="16"/>
    <s v="Google Search"/>
    <n v="0"/>
    <n v="5"/>
    <n v="19"/>
  </r>
  <r>
    <s v="Exantus, Susan"/>
    <n v="10290"/>
    <s v="Male"/>
    <n v="4"/>
    <n v="4"/>
    <n v="2"/>
    <n v="99280"/>
    <n v="24"/>
    <s v="Software Engineer"/>
    <x v="0"/>
    <n v="1749"/>
    <d v="1987-05-05T00:00:00"/>
    <n v="38"/>
    <s v="F"/>
    <s v="Married"/>
    <d v="2011-02-05T00:00:00"/>
    <x v="50"/>
    <s v="Software Engineering"/>
    <s v="Alex Sweetwater"/>
    <n v="10"/>
    <s v="Indeed"/>
    <n v="4"/>
    <n v="4"/>
    <n v="19"/>
  </r>
  <r>
    <s v="Faller, Megan "/>
    <n v="10263"/>
    <s v="Male"/>
    <n v="1"/>
    <n v="5"/>
    <n v="3"/>
    <n v="71776"/>
    <n v="20"/>
    <s v="Production Technician II"/>
    <x v="0"/>
    <n v="1824"/>
    <d v="1978-12-09T00:00:00"/>
    <n v="47"/>
    <s v="F"/>
    <s v="Married"/>
    <d v="2014-07-07T00:00:00"/>
    <x v="16"/>
    <s v="Production       "/>
    <s v="Elijiah Gray"/>
    <n v="16"/>
    <s v="LinkedIn"/>
    <n v="0"/>
    <n v="0"/>
    <n v="17"/>
  </r>
  <r>
    <s v="Fancett, Nicole"/>
    <n v="10136"/>
    <s v="Male"/>
    <n v="1"/>
    <n v="5"/>
    <n v="3"/>
    <n v="65902"/>
    <n v="20"/>
    <s v="Production Technician II"/>
    <x v="0"/>
    <n v="2324"/>
    <d v="1987-07-09T00:00:00"/>
    <n v="38"/>
    <s v="F"/>
    <s v="Single"/>
    <d v="2014-02-17T00:00:00"/>
    <x v="19"/>
    <s v="Production       "/>
    <s v="Webster Butler"/>
    <m/>
    <s v="LinkedIn"/>
    <n v="0"/>
    <n v="0"/>
    <n v="7"/>
  </r>
  <r>
    <s v="Ferguson, Susan"/>
    <n v="10189"/>
    <s v="Male"/>
    <n v="5"/>
    <n v="5"/>
    <n v="3"/>
    <n v="57748"/>
    <n v="19"/>
    <s v="Production Technician I"/>
    <x v="0"/>
    <n v="2176"/>
    <d v="1955-04-04T00:00:00"/>
    <n v="71"/>
    <s v="F"/>
    <s v="Married"/>
    <d v="2011-07-11T00:00:00"/>
    <x v="43"/>
    <s v="Production       "/>
    <s v="Webster Butler"/>
    <n v="39"/>
    <s v="Google Search"/>
    <n v="0"/>
    <n v="0"/>
    <n v="16"/>
  </r>
  <r>
    <s v="Fernandes, Nilson  "/>
    <n v="10308"/>
    <s v="Female"/>
    <n v="1"/>
    <n v="5"/>
    <n v="1"/>
    <n v="64057"/>
    <n v="19"/>
    <s v="Production Technician I"/>
    <x v="0"/>
    <n v="2132"/>
    <d v="1989-08-10T00:00:00"/>
    <n v="36"/>
    <s v="M "/>
    <s v="Married"/>
    <d v="2015-11-05T00:00:00"/>
    <x v="51"/>
    <s v="Production       "/>
    <s v="Amy Dunn"/>
    <n v="11"/>
    <s v="Indeed"/>
    <n v="0"/>
    <n v="6"/>
    <n v="15"/>
  </r>
  <r>
    <s v="Fett, Boba"/>
    <n v="10309"/>
    <s v="Female"/>
    <n v="1"/>
    <n v="3"/>
    <n v="1"/>
    <n v="53366"/>
    <n v="15"/>
    <s v="Network Engineer"/>
    <x v="0"/>
    <n v="2138"/>
    <d v="1987-08-06T00:00:00"/>
    <n v="38"/>
    <s v="M "/>
    <s v="Single"/>
    <d v="2015-03-30T00:00:00"/>
    <x v="1"/>
    <s v="IT/IS"/>
    <s v="Peter Monroe"/>
    <n v="7"/>
    <s v="LinkedIn"/>
    <n v="6"/>
    <n v="3"/>
    <n v="2"/>
  </r>
  <r>
    <s v="Fidelia,  Libby"/>
    <n v="10049"/>
    <s v="Male"/>
    <n v="1"/>
    <n v="5"/>
    <n v="3"/>
    <n v="58530"/>
    <n v="19"/>
    <s v="Production Technician I"/>
    <x v="0"/>
    <n v="2155"/>
    <d v="1981-06-03T00:00:00"/>
    <n v="44"/>
    <s v="F"/>
    <s v="Married"/>
    <d v="2012-09-01T00:00:00"/>
    <x v="4"/>
    <s v="Production       "/>
    <s v="Brannon Miller"/>
    <n v="12"/>
    <s v="Google Search"/>
    <n v="0"/>
    <n v="0"/>
    <n v="19"/>
  </r>
  <r>
    <s v="Fitzpatrick, Michael  J"/>
    <n v="10093"/>
    <s v="Female"/>
    <n v="5"/>
    <n v="5"/>
    <n v="3"/>
    <n v="72609"/>
    <n v="20"/>
    <s v="Production Technician II"/>
    <x v="0"/>
    <n v="2143"/>
    <d v="1981-01-10T00:00:00"/>
    <n v="45"/>
    <s v="M "/>
    <s v="Single"/>
    <d v="2011-05-16T00:00:00"/>
    <x v="36"/>
    <s v="Production       "/>
    <s v="Amy Dunn"/>
    <n v="11"/>
    <s v="Google Search"/>
    <n v="0"/>
    <n v="0"/>
    <n v="20"/>
  </r>
  <r>
    <s v="Foreman, Tanya"/>
    <n v="10163"/>
    <s v="Male"/>
    <n v="5"/>
    <n v="5"/>
    <n v="3"/>
    <n v="55965"/>
    <n v="20"/>
    <s v="Production Technician II"/>
    <x v="0"/>
    <n v="2170"/>
    <d v="1983-08-11T00:00:00"/>
    <n v="42"/>
    <s v="F"/>
    <s v="Married"/>
    <d v="2011-04-04T00:00:00"/>
    <x v="15"/>
    <s v="Production       "/>
    <s v="Ketsia Liebig"/>
    <n v="19"/>
    <s v="Google Search"/>
    <n v="0"/>
    <n v="0"/>
    <n v="6"/>
  </r>
  <r>
    <s v="Forrest, Alex"/>
    <n v="10305"/>
    <s v="Female"/>
    <n v="1"/>
    <n v="6"/>
    <n v="3"/>
    <n v="70187"/>
    <n v="3"/>
    <s v="Area Sales Manager"/>
    <x v="0"/>
    <n v="2330"/>
    <d v="1975-07-07T00:00:00"/>
    <n v="50"/>
    <s v="M "/>
    <s v="Married"/>
    <d v="2014-09-29T00:00:00"/>
    <x v="22"/>
    <s v="Sales"/>
    <s v="Lynn Daneault"/>
    <n v="21"/>
    <s v="Employee Referral"/>
    <n v="0"/>
    <n v="4"/>
    <n v="7"/>
  </r>
  <r>
    <s v="Foss, Jason"/>
    <n v="10015"/>
    <s v="Female"/>
    <n v="1"/>
    <n v="3"/>
    <n v="4"/>
    <n v="178000"/>
    <n v="12"/>
    <s v="IT Director"/>
    <x v="0"/>
    <n v="1460"/>
    <d v="1980-05-07T00:00:00"/>
    <n v="45"/>
    <s v="M "/>
    <s v="Single"/>
    <d v="2011-04-15T00:00:00"/>
    <x v="52"/>
    <s v="IT/IS"/>
    <s v="Jennifer Zamora"/>
    <n v="5"/>
    <s v="Indeed"/>
    <n v="5"/>
    <n v="0"/>
    <n v="15"/>
  </r>
  <r>
    <s v="Foster-Baker, Amy"/>
    <n v="10080"/>
    <s v="Male"/>
    <n v="1"/>
    <n v="1"/>
    <n v="3"/>
    <n v="99351"/>
    <n v="26"/>
    <s v="Sr. Accountant"/>
    <x v="0"/>
    <n v="2050"/>
    <d v="1979-06-04T00:00:00"/>
    <n v="46"/>
    <s v="F"/>
    <s v="Married"/>
    <d v="2009-05-01T00:00:00"/>
    <x v="40"/>
    <s v="Admin Offices"/>
    <s v="Board of Directors"/>
    <n v="9"/>
    <s v="Other"/>
    <n v="2"/>
    <n v="0"/>
    <n v="3"/>
  </r>
  <r>
    <s v="Fraval, Maruk "/>
    <n v="10258"/>
    <s v="Female"/>
    <n v="1"/>
    <n v="6"/>
    <n v="3"/>
    <n v="67251"/>
    <n v="3"/>
    <s v="Area Sales Manager"/>
    <x v="2"/>
    <n v="6050"/>
    <d v="1963-08-08T00:00:00"/>
    <n v="62"/>
    <s v="M "/>
    <s v="Single"/>
    <d v="2011-06-09T00:00:00"/>
    <x v="53"/>
    <s v="Sales"/>
    <s v="Lynn Daneault"/>
    <n v="21"/>
    <s v="CareerBuilder"/>
    <n v="0"/>
    <n v="2"/>
    <n v="7"/>
  </r>
  <r>
    <s v="Galia, Lisa"/>
    <n v="10273"/>
    <s v="Male"/>
    <n v="1"/>
    <n v="3"/>
    <n v="3"/>
    <n v="65707"/>
    <n v="14"/>
    <s v="IT Support"/>
    <x v="2"/>
    <n v="6040"/>
    <d v="1968-06-07T00:00:00"/>
    <n v="57"/>
    <s v="F"/>
    <s v="Single"/>
    <d v="2010-01-05T00:00:00"/>
    <x v="54"/>
    <s v="IT/IS"/>
    <s v="Eric Dougall"/>
    <n v="6"/>
    <s v="LinkedIn"/>
    <n v="5"/>
    <n v="0"/>
    <n v="1"/>
  </r>
  <r>
    <s v="Garcia, Raul"/>
    <n v="10111"/>
    <s v="Female"/>
    <n v="1"/>
    <n v="5"/>
    <n v="3"/>
    <n v="52249"/>
    <n v="19"/>
    <s v="Production Technician I"/>
    <x v="0"/>
    <n v="1905"/>
    <d v="1985-12-09T00:00:00"/>
    <n v="40"/>
    <s v="M "/>
    <s v="Single"/>
    <d v="2015-03-30T00:00:00"/>
    <x v="1"/>
    <s v="Production       "/>
    <s v="David Stanley"/>
    <n v="14"/>
    <s v="Employee Referral"/>
    <n v="0"/>
    <n v="0"/>
    <n v="5"/>
  </r>
  <r>
    <s v="Gaul, Barbara"/>
    <n v="10257"/>
    <s v="Male"/>
    <n v="1"/>
    <n v="5"/>
    <n v="3"/>
    <n v="53171"/>
    <n v="19"/>
    <s v="Production Technician I"/>
    <x v="0"/>
    <n v="2121"/>
    <d v="1983-02-12T00:00:00"/>
    <n v="43"/>
    <s v="F"/>
    <s v="Single"/>
    <d v="2011-05-16T00:00:00"/>
    <x v="36"/>
    <s v="Production       "/>
    <s v="Kelley Spirea"/>
    <n v="18"/>
    <s v="LinkedIn"/>
    <n v="0"/>
    <n v="0"/>
    <n v="12"/>
  </r>
  <r>
    <s v="Gentry, Mildred"/>
    <n v="10159"/>
    <s v="Male"/>
    <n v="1"/>
    <n v="5"/>
    <n v="3"/>
    <n v="51337"/>
    <n v="19"/>
    <s v="Production Technician I"/>
    <x v="0"/>
    <n v="2145"/>
    <d v="1990-01-10T00:00:00"/>
    <n v="36"/>
    <s v="F"/>
    <s v="Married"/>
    <d v="2015-03-30T00:00:00"/>
    <x v="1"/>
    <s v="Production       "/>
    <s v="Michael Albert"/>
    <n v="22"/>
    <s v="LinkedIn"/>
    <n v="0"/>
    <n v="0"/>
    <n v="19"/>
  </r>
  <r>
    <s v="Gerke, Melisa"/>
    <n v="10122"/>
    <s v="Male"/>
    <n v="5"/>
    <n v="5"/>
    <n v="3"/>
    <n v="51505"/>
    <n v="19"/>
    <s v="Production Technician I"/>
    <x v="0"/>
    <n v="2330"/>
    <d v="1970-11-05T00:00:00"/>
    <n v="55"/>
    <s v="F"/>
    <s v="Divorced"/>
    <d v="2011-07-11T00:00:00"/>
    <x v="43"/>
    <s v="Production       "/>
    <s v="Elijiah Gray"/>
    <n v="16"/>
    <s v="Diversity Job Fair"/>
    <n v="0"/>
    <n v="0"/>
    <n v="2"/>
  </r>
  <r>
    <s v="Gill, Whitney  "/>
    <n v="10142"/>
    <s v="Male"/>
    <n v="4"/>
    <n v="6"/>
    <n v="3"/>
    <n v="59370"/>
    <n v="3"/>
    <s v="Area Sales Manager"/>
    <x v="8"/>
    <n v="43050"/>
    <d v="1971-10-07T00:00:00"/>
    <n v="54"/>
    <s v="F"/>
    <s v="Widowed"/>
    <d v="2014-07-07T00:00:00"/>
    <x v="16"/>
    <s v="Sales"/>
    <s v="John Smith"/>
    <n v="17"/>
    <s v="CareerBuilder"/>
    <n v="0"/>
    <n v="0"/>
    <n v="7"/>
  </r>
  <r>
    <s v="Gilles, Alex"/>
    <n v="10283"/>
    <s v="Female"/>
    <n v="5"/>
    <n v="5"/>
    <n v="2"/>
    <n v="54933"/>
    <n v="19"/>
    <s v="Production Technician I"/>
    <x v="0"/>
    <n v="2062"/>
    <d v="1974-09-08T00:00:00"/>
    <n v="51"/>
    <s v="M "/>
    <s v="Married"/>
    <d v="2012-02-04T00:00:00"/>
    <x v="10"/>
    <s v="Production       "/>
    <s v="Webster Butler"/>
    <n v="39"/>
    <s v="Diversity Job Fair"/>
    <n v="0"/>
    <n v="3"/>
    <n v="15"/>
  </r>
  <r>
    <s v="Girifalco, Evelyn"/>
    <n v="10018"/>
    <s v="Male"/>
    <n v="1"/>
    <n v="5"/>
    <n v="4"/>
    <n v="57815"/>
    <n v="19"/>
    <s v="Production Technician I"/>
    <x v="0"/>
    <n v="2451"/>
    <d v="1980-08-05T00:00:00"/>
    <n v="45"/>
    <s v="F"/>
    <s v="Single"/>
    <d v="2014-09-29T00:00:00"/>
    <x v="22"/>
    <s v="Production       "/>
    <s v="Amy Dunn"/>
    <n v="11"/>
    <s v="Indeed"/>
    <n v="0"/>
    <n v="0"/>
    <n v="3"/>
  </r>
  <r>
    <s v="Givens, Myriam"/>
    <n v="10255"/>
    <s v="Male"/>
    <n v="1"/>
    <n v="6"/>
    <n v="3"/>
    <n v="61555"/>
    <n v="3"/>
    <s v="Area Sales Manager"/>
    <x v="9"/>
    <n v="46204"/>
    <d v="1989-12-09T00:00:00"/>
    <n v="36"/>
    <s v="F"/>
    <s v="Single"/>
    <d v="2015-02-16T00:00:00"/>
    <x v="20"/>
    <s v="Sales"/>
    <s v="Lynn Daneault"/>
    <n v="21"/>
    <s v="Indeed"/>
    <n v="0"/>
    <n v="0"/>
    <n v="20"/>
  </r>
  <r>
    <s v="Goble, Taisha"/>
    <n v="10246"/>
    <s v="Male"/>
    <n v="4"/>
    <n v="3"/>
    <n v="3"/>
    <n v="114800"/>
    <n v="8"/>
    <s v="Database Administrator"/>
    <x v="0"/>
    <n v="2127"/>
    <d v="1971-03-10T00:00:00"/>
    <n v="55"/>
    <s v="F"/>
    <s v="Single"/>
    <d v="2015-02-16T00:00:00"/>
    <x v="20"/>
    <s v="IT/IS"/>
    <s v="Simon Roup"/>
    <n v="4"/>
    <s v="Indeed"/>
    <n v="4"/>
    <n v="0"/>
    <n v="10"/>
  </r>
  <r>
    <s v="Goeth, Amon"/>
    <n v="10228"/>
    <s v="Female"/>
    <n v="1"/>
    <n v="3"/>
    <n v="3"/>
    <n v="74679"/>
    <n v="14"/>
    <s v="IT Support"/>
    <x v="0"/>
    <n v="2135"/>
    <d v="1989-04-11T00:00:00"/>
    <n v="36"/>
    <s v="M "/>
    <s v="Married"/>
    <d v="2015-03-30T00:00:00"/>
    <x v="1"/>
    <s v="IT/IS"/>
    <s v="Peter Monroe"/>
    <n v="7"/>
    <s v="LinkedIn"/>
    <n v="7"/>
    <n v="0"/>
    <n v="20"/>
  </r>
  <r>
    <s v="Gold, Shenice  "/>
    <n v="10243"/>
    <s v="Male"/>
    <n v="1"/>
    <n v="5"/>
    <n v="3"/>
    <n v="53018"/>
    <n v="19"/>
    <s v="Production Technician I"/>
    <x v="0"/>
    <n v="2451"/>
    <d v="1992-08-06T00:00:00"/>
    <n v="33"/>
    <s v="F"/>
    <s v="Single"/>
    <d v="2013-11-11T00:00:00"/>
    <x v="23"/>
    <s v="Production       "/>
    <s v="Ketsia Liebig"/>
    <n v="19"/>
    <s v="Indeed"/>
    <n v="0"/>
    <n v="0"/>
    <n v="7"/>
  </r>
  <r>
    <s v="Gonzalez, Cayo"/>
    <n v="10031"/>
    <s v="Female"/>
    <n v="1"/>
    <n v="5"/>
    <n v="4"/>
    <n v="59892"/>
    <n v="19"/>
    <s v="Production Technician I"/>
    <x v="0"/>
    <n v="2108"/>
    <d v="1969-09-09T00:00:00"/>
    <n v="56"/>
    <s v="M "/>
    <s v="Divorced"/>
    <d v="2011-11-07T00:00:00"/>
    <x v="3"/>
    <s v="Production       "/>
    <s v="Brannon Miller"/>
    <n v="12"/>
    <s v="Diversity Job Fair"/>
    <n v="0"/>
    <n v="0"/>
    <n v="1"/>
  </r>
  <r>
    <s v="Gonzalez, Juan"/>
    <n v="10300"/>
    <s v="Female"/>
    <n v="5"/>
    <n v="5"/>
    <n v="1"/>
    <n v="68898"/>
    <n v="20"/>
    <s v="Production Technician II"/>
    <x v="0"/>
    <n v="2128"/>
    <d v="1964-12-10T00:00:00"/>
    <n v="61"/>
    <s v="M "/>
    <s v="Married"/>
    <d v="2010-04-26T00:00:00"/>
    <x v="49"/>
    <s v="Production       "/>
    <s v="Brannon Miller"/>
    <n v="12"/>
    <s v="Diversity Job Fair"/>
    <n v="0"/>
    <n v="3"/>
    <n v="10"/>
  </r>
  <r>
    <s v="Gonzalez, Maria"/>
    <n v="10101"/>
    <s v="Male"/>
    <n v="1"/>
    <n v="3"/>
    <n v="3"/>
    <n v="61242"/>
    <n v="14"/>
    <s v="IT Support"/>
    <x v="0"/>
    <n v="2472"/>
    <d v="1981-06-04T00:00:00"/>
    <n v="44"/>
    <s v="F"/>
    <s v="Separated"/>
    <d v="2015-05-01T00:00:00"/>
    <x v="8"/>
    <s v="IT/IS"/>
    <s v="Peter Monroe"/>
    <n v="7"/>
    <s v="Employee Referral"/>
    <n v="5"/>
    <n v="0"/>
    <n v="11"/>
  </r>
  <r>
    <s v="Good, Susan"/>
    <n v="10237"/>
    <s v="Male"/>
    <n v="3"/>
    <n v="5"/>
    <n v="3"/>
    <n v="66825"/>
    <n v="20"/>
    <s v="Production Technician II"/>
    <x v="0"/>
    <n v="1886"/>
    <d v="1986-05-05T00:00:00"/>
    <n v="39"/>
    <s v="F"/>
    <s v="Married"/>
    <d v="2014-12-05T00:00:00"/>
    <x v="31"/>
    <s v="Production       "/>
    <s v="David Stanley"/>
    <n v="14"/>
    <s v="LinkedIn"/>
    <n v="0"/>
    <n v="0"/>
    <n v="20"/>
  </r>
  <r>
    <s v="Gordon, David"/>
    <n v="10051"/>
    <s v="Female"/>
    <n v="1"/>
    <n v="5"/>
    <n v="3"/>
    <n v="48285"/>
    <n v="19"/>
    <s v="Production Technician I"/>
    <x v="0"/>
    <n v="2169"/>
    <d v="1979-01-05T00:00:00"/>
    <n v="47"/>
    <s v="M "/>
    <s v="Married"/>
    <d v="2012-02-07T00:00:00"/>
    <x v="42"/>
    <s v="Production       "/>
    <s v="David Stanley"/>
    <n v="14"/>
    <s v="LinkedIn"/>
    <n v="0"/>
    <n v="0"/>
    <n v="2"/>
  </r>
  <r>
    <s v="Gosciminski, Phylicia  "/>
    <n v="10218"/>
    <s v="Male"/>
    <n v="3"/>
    <n v="5"/>
    <n v="3"/>
    <n v="66149"/>
    <n v="20"/>
    <s v="Production Technician II"/>
    <x v="0"/>
    <n v="1824"/>
    <d v="1983-08-12T00:00:00"/>
    <n v="42"/>
    <s v="F"/>
    <s v="Separated"/>
    <d v="2013-09-30T00:00:00"/>
    <x v="6"/>
    <s v="Production       "/>
    <s v="Kissy Sullivan"/>
    <n v="20"/>
    <s v="Google Search"/>
    <n v="0"/>
    <n v="0"/>
    <n v="1"/>
  </r>
  <r>
    <s v="Goyal, Roxana"/>
    <n v="10256"/>
    <s v="Male"/>
    <n v="3"/>
    <n v="5"/>
    <n v="3"/>
    <n v="49256"/>
    <n v="19"/>
    <s v="Production Technician I"/>
    <x v="0"/>
    <n v="1864"/>
    <d v="1974-09-10T00:00:00"/>
    <n v="51"/>
    <s v="F"/>
    <s v="Married"/>
    <d v="2013-08-19T00:00:00"/>
    <x v="55"/>
    <s v="Production       "/>
    <s v="Kissy Sullivan"/>
    <n v="20"/>
    <s v="LinkedIn"/>
    <n v="0"/>
    <n v="0"/>
    <n v="3"/>
  </r>
  <r>
    <s v="Gray, Elijiah  "/>
    <n v="10098"/>
    <s v="Female"/>
    <n v="1"/>
    <n v="5"/>
    <n v="3"/>
    <n v="62957"/>
    <n v="18"/>
    <s v="Production Manager"/>
    <x v="0"/>
    <n v="1752"/>
    <d v="1981-11-07T00:00:00"/>
    <n v="44"/>
    <s v="M "/>
    <s v="Divorced"/>
    <d v="2015-02-06T00:00:00"/>
    <x v="56"/>
    <s v="Production       "/>
    <s v="Janet King"/>
    <n v="2"/>
    <s v="Employee Referral"/>
    <n v="0"/>
    <n v="0"/>
    <n v="2"/>
  </r>
  <r>
    <s v="Gross, Paula"/>
    <n v="10059"/>
    <s v="Male"/>
    <n v="5"/>
    <n v="5"/>
    <n v="3"/>
    <n v="63813"/>
    <n v="19"/>
    <s v="Production Technician I"/>
    <x v="0"/>
    <n v="2176"/>
    <d v="1983-11-05T00:00:00"/>
    <n v="42"/>
    <s v="F"/>
    <s v="Divorced"/>
    <d v="2011-02-21T00:00:00"/>
    <x v="13"/>
    <s v="Production       "/>
    <s v="Kelley Spirea"/>
    <n v="18"/>
    <s v="CareerBuilder"/>
    <n v="0"/>
    <n v="0"/>
    <n v="17"/>
  </r>
  <r>
    <s v="Gruber, Hans"/>
    <n v="10234"/>
    <s v="Female"/>
    <n v="1"/>
    <n v="3"/>
    <n v="3"/>
    <n v="99020"/>
    <n v="4"/>
    <s v="BI Developer"/>
    <x v="0"/>
    <n v="2134"/>
    <d v="1989-03-06T00:00:00"/>
    <n v="37"/>
    <s v="M "/>
    <s v="Married"/>
    <d v="2017-04-20T00:00:00"/>
    <x v="57"/>
    <s v="IT/IS"/>
    <s v="Brian Champaigne"/>
    <n v="13"/>
    <s v="Indeed"/>
    <n v="5"/>
    <n v="0"/>
    <n v="8"/>
  </r>
  <r>
    <s v="Guilianno, Mike"/>
    <n v="10109"/>
    <s v="Female"/>
    <n v="5"/>
    <n v="6"/>
    <n v="3"/>
    <n v="71707"/>
    <n v="3"/>
    <s v="Area Sales Manager"/>
    <x v="10"/>
    <n v="37129"/>
    <d v="1969-09-02T00:00:00"/>
    <n v="56"/>
    <s v="M "/>
    <s v="Single"/>
    <d v="2012-07-03T00:00:00"/>
    <x v="58"/>
    <s v="Sales"/>
    <s v="John Smith"/>
    <n v="17"/>
    <s v="LinkedIn"/>
    <n v="0"/>
    <n v="0"/>
    <n v="20"/>
  </r>
  <r>
    <s v="Handschiegl, Joanne"/>
    <n v="10125"/>
    <s v="Male"/>
    <n v="1"/>
    <n v="5"/>
    <n v="3"/>
    <n v="54828"/>
    <n v="19"/>
    <s v="Production Technician I"/>
    <x v="0"/>
    <n v="2127"/>
    <d v="1977-03-03T00:00:00"/>
    <n v="49"/>
    <s v="F"/>
    <s v="Married"/>
    <d v="2011-11-28T00:00:00"/>
    <x v="59"/>
    <s v="Production       "/>
    <s v="Michael Albert"/>
    <n v="22"/>
    <s v="Google Search"/>
    <n v="0"/>
    <n v="0"/>
    <n v="13"/>
  </r>
  <r>
    <s v="Hankard, Earnest"/>
    <n v="10074"/>
    <s v="Female"/>
    <n v="1"/>
    <n v="5"/>
    <n v="3"/>
    <n v="64246"/>
    <n v="20"/>
    <s v="Production Technician II"/>
    <x v="0"/>
    <n v="2155"/>
    <d v="1988-10-08T00:00:00"/>
    <n v="37"/>
    <s v="M "/>
    <s v="Single"/>
    <d v="2013-11-11T00:00:00"/>
    <x v="23"/>
    <s v="Production       "/>
    <s v="Kelley Spirea"/>
    <n v="18"/>
    <s v="LinkedIn"/>
    <n v="0"/>
    <n v="0"/>
    <n v="20"/>
  </r>
  <r>
    <s v="Harrington, Christie "/>
    <n v="10097"/>
    <s v="Male"/>
    <n v="5"/>
    <n v="5"/>
    <n v="3"/>
    <n v="52177"/>
    <n v="19"/>
    <s v="Production Technician I"/>
    <x v="0"/>
    <n v="2324"/>
    <d v="1952-08-08T00:00:00"/>
    <n v="73"/>
    <s v="F"/>
    <s v="Single"/>
    <d v="2012-09-01T00:00:00"/>
    <x v="4"/>
    <s v="Production       "/>
    <s v="Webster Butler"/>
    <n v="39"/>
    <s v="CareerBuilder"/>
    <n v="0"/>
    <n v="0"/>
    <n v="8"/>
  </r>
  <r>
    <s v="Harrison, Kara"/>
    <n v="10007"/>
    <s v="Male"/>
    <n v="1"/>
    <n v="5"/>
    <n v="4"/>
    <n v="62065"/>
    <n v="19"/>
    <s v="Production Technician I"/>
    <x v="0"/>
    <n v="1886"/>
    <d v="1974-02-05T00:00:00"/>
    <n v="52"/>
    <s v="F"/>
    <s v="Married"/>
    <d v="2014-12-05T00:00:00"/>
    <x v="31"/>
    <s v="Production       "/>
    <s v="Amy Dunn"/>
    <n v="11"/>
    <s v="CareerBuilder"/>
    <n v="0"/>
    <n v="0"/>
    <n v="5"/>
  </r>
  <r>
    <s v="Heitzman, Anthony"/>
    <n v="10129"/>
    <s v="Female"/>
    <n v="1"/>
    <n v="5"/>
    <n v="3"/>
    <n v="46998"/>
    <n v="19"/>
    <s v="Production Technician I"/>
    <x v="0"/>
    <n v="2149"/>
    <d v="1984-04-01T00:00:00"/>
    <n v="42"/>
    <s v="M "/>
    <s v="Single"/>
    <d v="2012-08-13T00:00:00"/>
    <x v="60"/>
    <s v="Production       "/>
    <s v="Ketsia Liebig"/>
    <n v="19"/>
    <s v="Google Search"/>
    <n v="0"/>
    <n v="0"/>
    <n v="1"/>
  </r>
  <r>
    <s v="Hendrickson, Trina"/>
    <n v="10075"/>
    <s v="Male"/>
    <n v="5"/>
    <n v="5"/>
    <n v="3"/>
    <n v="68099"/>
    <n v="20"/>
    <s v="Production Technician II"/>
    <x v="0"/>
    <n v="2021"/>
    <d v="1972-07-08T00:00:00"/>
    <n v="53"/>
    <s v="F"/>
    <s v="Single"/>
    <d v="2011-10-01T00:00:00"/>
    <x v="9"/>
    <s v="Production       "/>
    <s v="Kelley Spirea"/>
    <n v="18"/>
    <s v="CareerBuilder"/>
    <n v="0"/>
    <n v="0"/>
    <n v="15"/>
  </r>
  <r>
    <s v="Hitchcock, Alfred"/>
    <n v="10167"/>
    <s v="Female"/>
    <n v="1"/>
    <n v="6"/>
    <n v="3"/>
    <n v="70545"/>
    <n v="3"/>
    <s v="Area Sales Manager"/>
    <x v="11"/>
    <n v="3062"/>
    <d v="1988-04-09T00:00:00"/>
    <n v="38"/>
    <s v="M "/>
    <s v="Married"/>
    <d v="2014-08-18T00:00:00"/>
    <x v="29"/>
    <s v="Sales"/>
    <s v="John Smith"/>
    <n v="17"/>
    <s v="Indeed"/>
    <n v="0"/>
    <n v="0"/>
    <n v="9"/>
  </r>
  <r>
    <s v="Homberger, Adrienne  J"/>
    <n v="10195"/>
    <s v="Male"/>
    <n v="5"/>
    <n v="5"/>
    <n v="3"/>
    <n v="63478"/>
    <n v="20"/>
    <s v="Production Technician II"/>
    <x v="0"/>
    <n v="2445"/>
    <d v="1984-06-02T00:00:00"/>
    <n v="41"/>
    <s v="F"/>
    <s v="Married"/>
    <d v="2011-08-15T00:00:00"/>
    <x v="24"/>
    <s v="Production       "/>
    <s v="Michael Albert"/>
    <n v="30"/>
    <s v="Indeed"/>
    <n v="0"/>
    <n v="0"/>
    <n v="16"/>
  </r>
  <r>
    <s v="Horton, Jayne"/>
    <n v="10112"/>
    <s v="Male"/>
    <n v="1"/>
    <n v="3"/>
    <n v="3"/>
    <n v="97999"/>
    <n v="8"/>
    <s v="Database Administrator"/>
    <x v="0"/>
    <n v="2493"/>
    <d v="1984-11-02T00:00:00"/>
    <n v="41"/>
    <s v="F"/>
    <s v="Single"/>
    <d v="2015-03-30T00:00:00"/>
    <x v="1"/>
    <s v="IT/IS"/>
    <s v="Simon Roup"/>
    <n v="4"/>
    <s v="Indeed"/>
    <n v="6"/>
    <n v="0"/>
    <n v="4"/>
  </r>
  <r>
    <s v="Houlihan, Debra"/>
    <n v="10272"/>
    <s v="Male"/>
    <n v="1"/>
    <n v="6"/>
    <n v="3"/>
    <n v="180000"/>
    <n v="11"/>
    <s v="Director of Sales"/>
    <x v="12"/>
    <n v="2908"/>
    <d v="1966-07-03T00:00:00"/>
    <n v="59"/>
    <s v="F"/>
    <s v="Married"/>
    <d v="2014-05-05T00:00:00"/>
    <x v="41"/>
    <s v="Sales"/>
    <s v="Janet King"/>
    <n v="2"/>
    <s v="LinkedIn"/>
    <n v="0"/>
    <n v="0"/>
    <n v="19"/>
  </r>
  <r>
    <s v="Howard, Estelle"/>
    <n v="10182"/>
    <s v="Male"/>
    <n v="1"/>
    <n v="1"/>
    <n v="3"/>
    <n v="49920"/>
    <n v="2"/>
    <s v="Administrative Assistant"/>
    <x v="0"/>
    <n v="2170"/>
    <d v="1985-06-09T00:00:00"/>
    <n v="40"/>
    <s v="F"/>
    <s v="Married"/>
    <d v="2015-02-16T00:00:00"/>
    <x v="20"/>
    <s v="Admin Offices"/>
    <s v="Brandon R. LeBlanc"/>
    <n v="1"/>
    <s v="Indeed"/>
    <n v="4"/>
    <n v="0"/>
    <n v="6"/>
  </r>
  <r>
    <s v="Hudson, Jane"/>
    <n v="10248"/>
    <s v="Male"/>
    <n v="1"/>
    <n v="5"/>
    <n v="3"/>
    <n v="55425"/>
    <n v="19"/>
    <s v="Production Technician I"/>
    <x v="0"/>
    <n v="2176"/>
    <d v="1986-10-06T00:00:00"/>
    <n v="39"/>
    <s v="F"/>
    <s v="Single"/>
    <d v="2012-02-20T00:00:00"/>
    <x v="11"/>
    <s v="Production       "/>
    <s v="Ketsia Liebig"/>
    <n v="19"/>
    <s v="LinkedIn"/>
    <n v="0"/>
    <n v="0"/>
    <n v="4"/>
  </r>
  <r>
    <s v="Hunts, Julissa"/>
    <n v="10201"/>
    <s v="Male"/>
    <n v="2"/>
    <n v="5"/>
    <n v="3"/>
    <n v="69340"/>
    <n v="20"/>
    <s v="Production Technician II"/>
    <x v="0"/>
    <n v="2021"/>
    <d v="1984-11-03T00:00:00"/>
    <n v="41"/>
    <s v="F"/>
    <s v="Single"/>
    <d v="2016-06-06T00:00:00"/>
    <x v="61"/>
    <s v="Production       "/>
    <s v="Elijiah Gray"/>
    <n v="16"/>
    <s v="LinkedIn"/>
    <n v="0"/>
    <n v="0"/>
    <n v="4"/>
  </r>
  <r>
    <s v="Hutter, Rosalie"/>
    <n v="10214"/>
    <s v="Male"/>
    <n v="2"/>
    <n v="5"/>
    <n v="3"/>
    <n v="64995"/>
    <n v="20"/>
    <s v="Production Technician II"/>
    <x v="0"/>
    <n v="2351"/>
    <d v="1992-07-05T00:00:00"/>
    <n v="33"/>
    <s v="F"/>
    <s v="Separated"/>
    <d v="2015-05-06T00:00:00"/>
    <x v="62"/>
    <s v="Production       "/>
    <s v="Webster Butler"/>
    <m/>
    <s v="Indeed"/>
    <n v="0"/>
    <n v="0"/>
    <n v="6"/>
  </r>
  <r>
    <s v="Huynh, Ming"/>
    <n v="10160"/>
    <s v="Male"/>
    <n v="5"/>
    <n v="5"/>
    <n v="3"/>
    <n v="68182"/>
    <n v="20"/>
    <s v="Production Technician II"/>
    <x v="0"/>
    <n v="1742"/>
    <d v="1976-02-09T00:00:00"/>
    <n v="50"/>
    <s v="F"/>
    <s v="Divorced"/>
    <d v="2011-02-21T00:00:00"/>
    <x v="13"/>
    <s v="Production       "/>
    <s v="Amy Dunn"/>
    <n v="11"/>
    <s v="Google Search"/>
    <n v="0"/>
    <n v="0"/>
    <n v="18"/>
  </r>
  <r>
    <s v="Immediato, Walter"/>
    <n v="10289"/>
    <s v="Female"/>
    <n v="5"/>
    <n v="5"/>
    <n v="2"/>
    <n v="83082"/>
    <n v="18"/>
    <s v="Production Manager"/>
    <x v="0"/>
    <n v="2128"/>
    <d v="1976-05-11T00:00:00"/>
    <n v="49"/>
    <s v="M "/>
    <s v="Married"/>
    <d v="2011-02-21T00:00:00"/>
    <x v="13"/>
    <s v="Production       "/>
    <s v="Janet King"/>
    <n v="2"/>
    <s v="Indeed"/>
    <n v="0"/>
    <n v="3"/>
    <n v="4"/>
  </r>
  <r>
    <s v="Ivey, Rose "/>
    <n v="10139"/>
    <s v="Male"/>
    <n v="1"/>
    <n v="5"/>
    <n v="3"/>
    <n v="51908"/>
    <n v="19"/>
    <s v="Production Technician I"/>
    <x v="0"/>
    <n v="1775"/>
    <d v="1991-08-01T00:00:00"/>
    <n v="34"/>
    <s v="F"/>
    <s v="Single"/>
    <d v="2013-08-19T00:00:00"/>
    <x v="55"/>
    <s v="Production       "/>
    <s v="Brannon Miller"/>
    <n v="12"/>
    <s v="Indeed"/>
    <n v="0"/>
    <n v="0"/>
    <n v="14"/>
  </r>
  <r>
    <s v="Jackson, Maryellen"/>
    <n v="10227"/>
    <s v="Male"/>
    <n v="1"/>
    <n v="5"/>
    <n v="3"/>
    <n v="61242"/>
    <n v="19"/>
    <s v="Production Technician I"/>
    <x v="0"/>
    <n v="2081"/>
    <d v="1972-11-09T00:00:00"/>
    <n v="53"/>
    <s v="F"/>
    <s v="Single"/>
    <d v="2012-05-11T00:00:00"/>
    <x v="63"/>
    <s v="Production       "/>
    <s v="David Stanley"/>
    <n v="14"/>
    <s v="LinkedIn"/>
    <n v="0"/>
    <n v="0"/>
    <n v="7"/>
  </r>
  <r>
    <s v="Jacobi, Hannah  "/>
    <n v="10236"/>
    <s v="Male"/>
    <n v="1"/>
    <n v="5"/>
    <n v="3"/>
    <n v="45069"/>
    <n v="19"/>
    <s v="Production Technician I"/>
    <x v="0"/>
    <n v="1778"/>
    <d v="1966-12-03T00:00:00"/>
    <n v="59"/>
    <s v="F"/>
    <s v="Divorced"/>
    <d v="2013-09-30T00:00:00"/>
    <x v="6"/>
    <s v="Production       "/>
    <s v="Kissy Sullivan"/>
    <n v="20"/>
    <s v="Employee Referral"/>
    <n v="0"/>
    <n v="0"/>
    <n v="7"/>
  </r>
  <r>
    <s v="Jeannite, Tayana"/>
    <n v="10009"/>
    <s v="Male"/>
    <n v="1"/>
    <n v="5"/>
    <n v="4"/>
    <n v="60724"/>
    <n v="20"/>
    <s v="Production Technician II"/>
    <x v="0"/>
    <n v="1821"/>
    <d v="1986-06-11T00:00:00"/>
    <n v="39"/>
    <s v="F"/>
    <s v="Divorced"/>
    <d v="2011-05-07T00:00:00"/>
    <x v="0"/>
    <s v="Production       "/>
    <s v="Ketsia Liebig"/>
    <n v="19"/>
    <s v="LinkedIn"/>
    <n v="0"/>
    <n v="0"/>
    <n v="11"/>
  </r>
  <r>
    <s v="Jhaveri, Sneha  "/>
    <n v="10060"/>
    <s v="Male"/>
    <n v="1"/>
    <n v="5"/>
    <n v="3"/>
    <n v="60436"/>
    <n v="19"/>
    <s v="Production Technician I"/>
    <x v="0"/>
    <n v="2109"/>
    <d v="1964-03-04T00:00:00"/>
    <n v="62"/>
    <s v="F"/>
    <s v="Separated"/>
    <d v="2014-06-01T00:00:00"/>
    <x v="64"/>
    <s v="Production       "/>
    <s v="Kelley Spirea"/>
    <n v="18"/>
    <s v="LinkedIn"/>
    <n v="0"/>
    <n v="0"/>
    <n v="9"/>
  </r>
  <r>
    <s v="Johnson, George"/>
    <n v="10034"/>
    <s v="Female"/>
    <n v="5"/>
    <n v="5"/>
    <n v="4"/>
    <n v="46837"/>
    <n v="19"/>
    <s v="Production Technician I"/>
    <x v="0"/>
    <n v="2445"/>
    <d v="1959-09-08T00:00:00"/>
    <n v="66"/>
    <s v="M "/>
    <s v="Married"/>
    <d v="2011-07-11T00:00:00"/>
    <x v="43"/>
    <s v="Production       "/>
    <s v="Michael Albert"/>
    <n v="22"/>
    <s v="CareerBuilder"/>
    <n v="0"/>
    <n v="0"/>
    <n v="9"/>
  </r>
  <r>
    <s v="Johnson, Noelle "/>
    <n v="10156"/>
    <s v="Male"/>
    <n v="3"/>
    <n v="3"/>
    <n v="3"/>
    <n v="105700"/>
    <n v="8"/>
    <s v="Database Administrator"/>
    <x v="0"/>
    <n v="2301"/>
    <d v="1986-07-11T00:00:00"/>
    <n v="39"/>
    <s v="F"/>
    <s v="Married"/>
    <d v="2015-05-01T00:00:00"/>
    <x v="8"/>
    <s v="IT/IS"/>
    <s v="Simon Roup"/>
    <n v="4"/>
    <s v="Indeed"/>
    <n v="5"/>
    <n v="0"/>
    <n v="2"/>
  </r>
  <r>
    <s v="Johnston, Yen"/>
    <n v="10036"/>
    <s v="Male"/>
    <n v="1"/>
    <n v="5"/>
    <n v="4"/>
    <n v="63322"/>
    <n v="20"/>
    <s v="Production Technician II"/>
    <x v="0"/>
    <n v="2128"/>
    <d v="1969-08-09T00:00:00"/>
    <n v="56"/>
    <s v="F"/>
    <s v="Single"/>
    <d v="2014-07-07T00:00:00"/>
    <x v="16"/>
    <s v="Production       "/>
    <s v="Brannon Miller"/>
    <n v="12"/>
    <s v="LinkedIn"/>
    <n v="0"/>
    <n v="0"/>
    <n v="1"/>
  </r>
  <r>
    <s v="Jung, Judy  "/>
    <n v="10138"/>
    <s v="Male"/>
    <n v="5"/>
    <n v="5"/>
    <n v="3"/>
    <n v="61154"/>
    <n v="19"/>
    <s v="Production Technician I"/>
    <x v="0"/>
    <n v="2446"/>
    <d v="1986-07-04T00:00:00"/>
    <n v="39"/>
    <s v="F"/>
    <s v="Married"/>
    <d v="2011-10-01T00:00:00"/>
    <x v="9"/>
    <s v="Production       "/>
    <s v="Elijiah Gray"/>
    <n v="16"/>
    <s v="CareerBuilder"/>
    <n v="0"/>
    <n v="0"/>
    <n v="4"/>
  </r>
  <r>
    <s v="Kampew, Donysha"/>
    <n v="10244"/>
    <s v="Male"/>
    <n v="5"/>
    <n v="6"/>
    <n v="3"/>
    <n v="68999"/>
    <n v="21"/>
    <s v="Sales Manager"/>
    <x v="13"/>
    <n v="19444"/>
    <d v="1989-11-11T00:00:00"/>
    <n v="36"/>
    <s v="F"/>
    <s v="Single"/>
    <d v="2011-07-11T00:00:00"/>
    <x v="43"/>
    <s v="Sales"/>
    <s v="Debra Houlihan"/>
    <n v="15"/>
    <s v="Google Search"/>
    <n v="0"/>
    <n v="0"/>
    <n v="2"/>
  </r>
  <r>
    <s v="Keatts, Kramer "/>
    <n v="10192"/>
    <s v="Female"/>
    <n v="1"/>
    <n v="5"/>
    <n v="3"/>
    <n v="50482"/>
    <n v="19"/>
    <s v="Production Technician I"/>
    <x v="0"/>
    <n v="1887"/>
    <d v="1976-09-01T00:00:00"/>
    <n v="49"/>
    <s v="M "/>
    <s v="Single"/>
    <d v="2013-09-30T00:00:00"/>
    <x v="6"/>
    <s v="Production       "/>
    <s v="Michael Albert"/>
    <n v="22"/>
    <s v="Indeed"/>
    <n v="0"/>
    <n v="0"/>
    <n v="10"/>
  </r>
  <r>
    <s v="Khemmich, Bartholemew"/>
    <n v="10231"/>
    <s v="Female"/>
    <n v="1"/>
    <n v="6"/>
    <n v="3"/>
    <n v="65310"/>
    <n v="3"/>
    <s v="Area Sales Manager"/>
    <x v="14"/>
    <n v="80820"/>
    <d v="1979-07-11T00:00:00"/>
    <n v="46"/>
    <s v="M "/>
    <s v="Single"/>
    <d v="2013-08-19T00:00:00"/>
    <x v="55"/>
    <s v="Sales"/>
    <s v="Lynn Daneault"/>
    <n v="21"/>
    <s v="Indeed"/>
    <n v="0"/>
    <n v="0"/>
    <n v="13"/>
  </r>
  <r>
    <s v="King, Janet"/>
    <n v="10089"/>
    <s v="Male"/>
    <n v="1"/>
    <n v="2"/>
    <n v="3"/>
    <n v="250000"/>
    <n v="16"/>
    <s v="President &amp; CEO"/>
    <x v="0"/>
    <n v="1902"/>
    <d v="1954-01-09T00:00:00"/>
    <n v="72"/>
    <s v="F"/>
    <s v="Married"/>
    <d v="2012-02-07T00:00:00"/>
    <x v="42"/>
    <s v="Executive Office"/>
    <s v="Board of Directors"/>
    <n v="9"/>
    <s v="Indeed"/>
    <n v="0"/>
    <n v="0"/>
    <n v="10"/>
  </r>
  <r>
    <s v="Kinsella, Kathleen  "/>
    <n v="10166"/>
    <s v="Male"/>
    <n v="5"/>
    <n v="5"/>
    <n v="3"/>
    <n v="54005"/>
    <n v="19"/>
    <s v="Production Technician I"/>
    <x v="0"/>
    <n v="2170"/>
    <d v="1973-08-12T00:00:00"/>
    <n v="52"/>
    <s v="F"/>
    <s v="Married"/>
    <d v="2011-09-26T00:00:00"/>
    <x v="65"/>
    <s v="Production       "/>
    <s v="Webster Butler"/>
    <n v="39"/>
    <s v="Google Search"/>
    <n v="0"/>
    <n v="0"/>
    <n v="16"/>
  </r>
  <r>
    <s v="Kirill, Alexandra  "/>
    <n v="10170"/>
    <s v="Male"/>
    <n v="5"/>
    <n v="5"/>
    <n v="3"/>
    <n v="45433"/>
    <n v="19"/>
    <s v="Production Technician I"/>
    <x v="0"/>
    <n v="2127"/>
    <d v="1970-08-10T00:00:00"/>
    <n v="55"/>
    <s v="F"/>
    <s v="Married"/>
    <d v="2011-09-26T00:00:00"/>
    <x v="65"/>
    <s v="Production       "/>
    <s v="Amy Dunn"/>
    <n v="11"/>
    <s v="Google Search"/>
    <n v="0"/>
    <n v="0"/>
    <n v="6"/>
  </r>
  <r>
    <s v="Knapp, Bradley  J"/>
    <n v="10208"/>
    <s v="Female"/>
    <n v="1"/>
    <n v="5"/>
    <n v="3"/>
    <n v="46654"/>
    <n v="19"/>
    <s v="Production Technician I"/>
    <x v="0"/>
    <n v="1721"/>
    <d v="1977-10-11T00:00:00"/>
    <n v="48"/>
    <s v="M "/>
    <s v="Single"/>
    <d v="2014-02-17T00:00:00"/>
    <x v="19"/>
    <s v="Production       "/>
    <s v="Ketsia Liebig"/>
    <n v="19"/>
    <s v="LinkedIn"/>
    <n v="0"/>
    <n v="0"/>
    <n v="3"/>
  </r>
  <r>
    <s v="Kretschmer, John"/>
    <n v="10176"/>
    <s v="Female"/>
    <n v="1"/>
    <n v="5"/>
    <n v="3"/>
    <n v="63973"/>
    <n v="19"/>
    <s v="Production Technician I"/>
    <x v="0"/>
    <n v="1801"/>
    <d v="1980-02-02T00:00:00"/>
    <n v="46"/>
    <s v="M "/>
    <s v="Married"/>
    <d v="2011-10-01T00:00:00"/>
    <x v="9"/>
    <s v="Production       "/>
    <s v="Brannon Miller"/>
    <n v="12"/>
    <s v="Indeed"/>
    <n v="0"/>
    <n v="0"/>
    <n v="17"/>
  </r>
  <r>
    <s v="Kreuger, Freddy"/>
    <n v="10165"/>
    <s v="Female"/>
    <n v="1"/>
    <n v="6"/>
    <n v="3"/>
    <n v="71339"/>
    <n v="3"/>
    <s v="Area Sales Manager"/>
    <x v="15"/>
    <n v="10171"/>
    <d v="1969-04-02T00:00:00"/>
    <n v="57"/>
    <s v="M "/>
    <s v="Single"/>
    <d v="2011-07-03T00:00:00"/>
    <x v="66"/>
    <s v="Sales"/>
    <s v="John Smith"/>
    <n v="17"/>
    <s v="Diversity Job Fair"/>
    <n v="0"/>
    <n v="0"/>
    <n v="20"/>
  </r>
  <r>
    <s v="Lajiri,  Jyoti"/>
    <n v="10113"/>
    <s v="Female"/>
    <n v="3"/>
    <n v="3"/>
    <n v="3"/>
    <n v="93206"/>
    <n v="28"/>
    <s v="Sr. Network Engineer"/>
    <x v="0"/>
    <n v="2169"/>
    <d v="1986-03-04T00:00:00"/>
    <n v="40"/>
    <s v="M "/>
    <s v="Married"/>
    <d v="2014-10-11T00:00:00"/>
    <x v="5"/>
    <s v="IT/IS"/>
    <s v="Peter Monroe"/>
    <n v="7"/>
    <s v="Employee Referral"/>
    <n v="6"/>
    <n v="0"/>
    <n v="7"/>
  </r>
  <r>
    <s v="Landa, Hans"/>
    <n v="10092"/>
    <s v="Female"/>
    <n v="4"/>
    <n v="5"/>
    <n v="3"/>
    <n v="82758"/>
    <n v="18"/>
    <s v="Production Manager"/>
    <x v="0"/>
    <n v="1890"/>
    <d v="1972-01-07T00:00:00"/>
    <n v="54"/>
    <s v="M "/>
    <s v="Married"/>
    <d v="2011-10-01T00:00:00"/>
    <x v="9"/>
    <s v="Production       "/>
    <s v="Janet King"/>
    <n v="2"/>
    <s v="Employee Referral"/>
    <n v="0"/>
    <n v="0"/>
    <n v="9"/>
  </r>
  <r>
    <s v="Langford, Lindsey"/>
    <n v="10106"/>
    <s v="Male"/>
    <n v="5"/>
    <n v="5"/>
    <n v="3"/>
    <n v="66074"/>
    <n v="20"/>
    <s v="Production Technician II"/>
    <x v="0"/>
    <n v="2090"/>
    <d v="1979-05-07T00:00:00"/>
    <n v="46"/>
    <s v="F"/>
    <s v="Divorced"/>
    <d v="2013-07-01T00:00:00"/>
    <x v="46"/>
    <s v="Production       "/>
    <s v="David Stanley"/>
    <n v="14"/>
    <s v="Indeed"/>
    <n v="0"/>
    <n v="0"/>
    <n v="20"/>
  </r>
  <r>
    <s v="Langton, Enrico"/>
    <n v="10052"/>
    <s v="Female"/>
    <n v="1"/>
    <n v="5"/>
    <n v="3"/>
    <n v="46120"/>
    <n v="19"/>
    <s v="Production Technician I"/>
    <x v="0"/>
    <n v="2048"/>
    <d v="1986-09-12T00:00:00"/>
    <n v="39"/>
    <s v="M "/>
    <s v="Married"/>
    <d v="2012-09-07T00:00:00"/>
    <x v="67"/>
    <s v="Production       "/>
    <s v="David Stanley"/>
    <n v="14"/>
    <s v="LinkedIn"/>
    <n v="0"/>
    <n v="0"/>
    <n v="13"/>
  </r>
  <r>
    <s v="LaRotonda, William  "/>
    <n v="10038"/>
    <s v="Female"/>
    <n v="1"/>
    <n v="1"/>
    <n v="3"/>
    <n v="64520"/>
    <n v="1"/>
    <s v="Accountant I"/>
    <x v="0"/>
    <n v="1460"/>
    <d v="1984-06-04T00:00:00"/>
    <n v="41"/>
    <s v="M "/>
    <s v="Divorced"/>
    <d v="2014-06-01T00:00:00"/>
    <x v="64"/>
    <s v="Admin Offices"/>
    <s v="Brandon R. LeBlanc"/>
    <n v="1"/>
    <s v="Website"/>
    <n v="4"/>
    <n v="0"/>
    <n v="3"/>
  </r>
  <r>
    <s v="Latif, Mohammed"/>
    <n v="10249"/>
    <s v="Female"/>
    <n v="5"/>
    <n v="5"/>
    <n v="3"/>
    <n v="61962"/>
    <n v="20"/>
    <s v="Production Technician II"/>
    <x v="0"/>
    <n v="2126"/>
    <d v="1984-09-05T00:00:00"/>
    <n v="41"/>
    <s v="M "/>
    <s v="Married"/>
    <d v="2012-02-04T00:00:00"/>
    <x v="10"/>
    <s v="Production       "/>
    <s v="Kissy Sullivan"/>
    <n v="20"/>
    <s v="Google Search"/>
    <n v="0"/>
    <n v="0"/>
    <n v="20"/>
  </r>
  <r>
    <s v="Le, Binh"/>
    <n v="10232"/>
    <s v="Male"/>
    <n v="1"/>
    <n v="3"/>
    <n v="3"/>
    <n v="81584"/>
    <n v="22"/>
    <s v="Senior BI Developer"/>
    <x v="0"/>
    <n v="1886"/>
    <d v="1987-04-06T00:00:00"/>
    <n v="39"/>
    <s v="F"/>
    <s v="Single"/>
    <d v="2016-02-10T00:00:00"/>
    <x v="68"/>
    <s v="IT/IS"/>
    <s v="Brian Champaigne"/>
    <n v="13"/>
    <s v="Indeed"/>
    <n v="7"/>
    <n v="0"/>
    <n v="2"/>
  </r>
  <r>
    <s v="Leach, Dallas"/>
    <n v="10087"/>
    <s v="Male"/>
    <n v="5"/>
    <n v="5"/>
    <n v="3"/>
    <n v="63676"/>
    <n v="19"/>
    <s v="Production Technician I"/>
    <x v="0"/>
    <n v="1810"/>
    <d v="1979-07-01T00:00:00"/>
    <n v="46"/>
    <s v="F"/>
    <s v="Single"/>
    <d v="2011-09-26T00:00:00"/>
    <x v="65"/>
    <s v="Production       "/>
    <s v="Kissy Sullivan"/>
    <n v="20"/>
    <s v="CareerBuilder"/>
    <n v="0"/>
    <n v="0"/>
    <n v="17"/>
  </r>
  <r>
    <s v="LeBlanc, Brandon  R"/>
    <n v="10134"/>
    <s v="Female"/>
    <n v="1"/>
    <n v="1"/>
    <n v="3"/>
    <n v="93046"/>
    <n v="23"/>
    <s v="Shared Services Manager"/>
    <x v="0"/>
    <n v="1460"/>
    <d v="1984-10-06T00:00:00"/>
    <n v="41"/>
    <s v="M "/>
    <s v="Married"/>
    <d v="2016-05-01T00:00:00"/>
    <x v="69"/>
    <s v="Admin Offices"/>
    <s v="Janet King"/>
    <n v="2"/>
    <s v="CareerBuilder"/>
    <n v="0"/>
    <n v="0"/>
    <n v="20"/>
  </r>
  <r>
    <s v="Lecter, Hannibal"/>
    <n v="10251"/>
    <s v="Female"/>
    <n v="1"/>
    <n v="5"/>
    <n v="3"/>
    <n v="64738"/>
    <n v="19"/>
    <s v="Production Technician I"/>
    <x v="0"/>
    <n v="1776"/>
    <d v="1982-02-09T00:00:00"/>
    <n v="44"/>
    <s v="M "/>
    <s v="Married"/>
    <d v="2012-05-14T00:00:00"/>
    <x v="32"/>
    <s v="Production       "/>
    <s v="Elijiah Gray"/>
    <n v="16"/>
    <s v="Google Search"/>
    <n v="0"/>
    <n v="0"/>
    <n v="10"/>
  </r>
  <r>
    <s v="Leruth, Giovanni"/>
    <n v="10103"/>
    <s v="Female"/>
    <n v="1"/>
    <n v="6"/>
    <n v="3"/>
    <n v="70468"/>
    <n v="3"/>
    <s v="Area Sales Manager"/>
    <x v="16"/>
    <n v="84111"/>
    <d v="1988-07-12T00:00:00"/>
    <n v="37"/>
    <s v="M "/>
    <s v="Separated"/>
    <d v="2012-04-30T00:00:00"/>
    <x v="70"/>
    <s v="Sales"/>
    <s v="John Smith"/>
    <n v="17"/>
    <s v="Website"/>
    <n v="0"/>
    <n v="0"/>
    <n v="16"/>
  </r>
  <r>
    <s v="Liebig, Ketsia"/>
    <n v="10017"/>
    <s v="Male"/>
    <n v="1"/>
    <n v="5"/>
    <n v="4"/>
    <n v="77915"/>
    <n v="18"/>
    <s v="Production Manager"/>
    <x v="0"/>
    <n v="2110"/>
    <d v="1981-06-10T00:00:00"/>
    <n v="44"/>
    <s v="F"/>
    <s v="Married"/>
    <d v="2013-09-30T00:00:00"/>
    <x v="6"/>
    <s v="Production       "/>
    <s v="Janet King"/>
    <n v="2"/>
    <s v="Website"/>
    <n v="0"/>
    <n v="0"/>
    <n v="11"/>
  </r>
  <r>
    <s v="Linares, Marilyn "/>
    <n v="10186"/>
    <s v="Male"/>
    <n v="5"/>
    <n v="5"/>
    <n v="3"/>
    <n v="52624"/>
    <n v="19"/>
    <s v="Production Technician I"/>
    <x v="0"/>
    <n v="1886"/>
    <d v="1981-06-03T00:00:00"/>
    <n v="44"/>
    <s v="F"/>
    <s v="Married"/>
    <d v="2011-05-07T00:00:00"/>
    <x v="0"/>
    <s v="Production       "/>
    <s v="Michael Albert"/>
    <n v="22"/>
    <s v="Indeed"/>
    <n v="0"/>
    <n v="0"/>
    <n v="16"/>
  </r>
  <r>
    <s v="Linden, Mathew"/>
    <n v="10137"/>
    <s v="Female"/>
    <n v="3"/>
    <n v="5"/>
    <n v="3"/>
    <n v="63450"/>
    <n v="20"/>
    <s v="Production Technician II"/>
    <x v="0"/>
    <n v="1770"/>
    <d v="1979-09-03T00:00:00"/>
    <n v="46"/>
    <s v="M "/>
    <s v="Married"/>
    <d v="2013-08-07T00:00:00"/>
    <x v="17"/>
    <s v="Production       "/>
    <s v="Kelley Spirea"/>
    <n v="18"/>
    <s v="LinkedIn"/>
    <n v="0"/>
    <n v="0"/>
    <n v="7"/>
  </r>
  <r>
    <s v="Lindsay, Leonara "/>
    <n v="10008"/>
    <s v="Male"/>
    <n v="1"/>
    <n v="3"/>
    <n v="4"/>
    <n v="51777"/>
    <n v="14"/>
    <s v="IT Support"/>
    <x v="2"/>
    <n v="6070"/>
    <d v="1988-05-10T00:00:00"/>
    <n v="37"/>
    <s v="F"/>
    <s v="Single"/>
    <d v="2011-01-21T00:00:00"/>
    <x v="71"/>
    <s v="IT/IS"/>
    <s v="Eric Dougall"/>
    <n v="6"/>
    <s v="Diversity Job Fair"/>
    <n v="5"/>
    <n v="0"/>
    <n v="14"/>
  </r>
  <r>
    <s v="Lundy, Susan"/>
    <n v="10096"/>
    <s v="Male"/>
    <n v="5"/>
    <n v="5"/>
    <n v="3"/>
    <n v="67237"/>
    <n v="20"/>
    <s v="Production Technician II"/>
    <x v="0"/>
    <n v="2122"/>
    <d v="1976-06-12T00:00:00"/>
    <n v="49"/>
    <s v="F"/>
    <s v="Widowed"/>
    <d v="2013-08-07T00:00:00"/>
    <x v="17"/>
    <s v="Production       "/>
    <s v="Michael Albert"/>
    <n v="22"/>
    <s v="LinkedIn"/>
    <n v="0"/>
    <n v="0"/>
    <n v="15"/>
  </r>
  <r>
    <s v="Lunquist, Lisa"/>
    <n v="10035"/>
    <s v="Male"/>
    <n v="1"/>
    <n v="5"/>
    <n v="4"/>
    <n v="73330"/>
    <n v="20"/>
    <s v="Production Technician II"/>
    <x v="0"/>
    <n v="2324"/>
    <d v="1982-08-03T00:00:00"/>
    <n v="43"/>
    <s v="F"/>
    <s v="Single"/>
    <d v="2013-08-19T00:00:00"/>
    <x v="55"/>
    <s v="Production       "/>
    <s v="Elijiah Gray"/>
    <n v="16"/>
    <s v="Indeed"/>
    <n v="0"/>
    <n v="0"/>
    <n v="19"/>
  </r>
  <r>
    <s v="Lydon, Allison"/>
    <n v="10057"/>
    <s v="Male"/>
    <n v="3"/>
    <n v="5"/>
    <n v="3"/>
    <n v="52057"/>
    <n v="19"/>
    <s v="Production Technician I"/>
    <x v="0"/>
    <n v="2122"/>
    <d v="1975-02-10T00:00:00"/>
    <n v="51"/>
    <s v="F"/>
    <s v="Married"/>
    <d v="2015-02-16T00:00:00"/>
    <x v="20"/>
    <s v="Production       "/>
    <s v="Elijiah Gray"/>
    <n v="16"/>
    <s v="Website"/>
    <n v="0"/>
    <n v="0"/>
    <n v="6"/>
  </r>
  <r>
    <s v="Lynch, Lindsay"/>
    <n v="10004"/>
    <s v="Male"/>
    <n v="5"/>
    <n v="5"/>
    <n v="4"/>
    <n v="47434"/>
    <n v="19"/>
    <s v="Production Technician I"/>
    <x v="0"/>
    <n v="1844"/>
    <d v="1973-04-02T00:00:00"/>
    <n v="53"/>
    <s v="F"/>
    <s v="Single"/>
    <d v="2011-07-11T00:00:00"/>
    <x v="43"/>
    <s v="Production       "/>
    <s v="Webster Butler"/>
    <n v="39"/>
    <s v="Diversity Job Fair"/>
    <n v="0"/>
    <n v="0"/>
    <n v="17"/>
  </r>
  <r>
    <s v="MacLennan, Samuel"/>
    <n v="10191"/>
    <s v="Female"/>
    <n v="5"/>
    <n v="5"/>
    <n v="3"/>
    <n v="52788"/>
    <n v="19"/>
    <s v="Production Technician I"/>
    <x v="0"/>
    <n v="1938"/>
    <d v="1972-09-11T00:00:00"/>
    <n v="53"/>
    <s v="M "/>
    <s v="Widowed"/>
    <d v="2012-09-24T00:00:00"/>
    <x v="12"/>
    <s v="Production       "/>
    <s v="Amy Dunn"/>
    <n v="11"/>
    <s v="Indeed"/>
    <n v="0"/>
    <n v="0"/>
    <n v="18"/>
  </r>
  <r>
    <s v="Mahoney, Lauren  "/>
    <n v="10219"/>
    <s v="Male"/>
    <n v="1"/>
    <n v="5"/>
    <n v="3"/>
    <n v="45395"/>
    <n v="19"/>
    <s v="Production Technician I"/>
    <x v="0"/>
    <n v="2189"/>
    <d v="1986-07-07T00:00:00"/>
    <n v="39"/>
    <s v="F"/>
    <s v="Single"/>
    <d v="2014-06-01T00:00:00"/>
    <x v="64"/>
    <s v="Production       "/>
    <s v="Ketsia Liebig"/>
    <n v="19"/>
    <s v="LinkedIn"/>
    <n v="0"/>
    <n v="0"/>
    <n v="14"/>
  </r>
  <r>
    <s v="Manchester, Robyn"/>
    <n v="10077"/>
    <s v="Male"/>
    <n v="2"/>
    <n v="5"/>
    <n v="3"/>
    <n v="62385"/>
    <n v="20"/>
    <s v="Production Technician II"/>
    <x v="0"/>
    <n v="2324"/>
    <d v="1976-05-08T00:00:00"/>
    <n v="49"/>
    <s v="F"/>
    <s v="Married"/>
    <d v="2016-11-05T00:00:00"/>
    <x v="72"/>
    <s v="Production       "/>
    <s v="Webster Butler"/>
    <m/>
    <s v="LinkedIn"/>
    <n v="0"/>
    <n v="0"/>
    <n v="4"/>
  </r>
  <r>
    <s v="Mancuso, Karen"/>
    <n v="10073"/>
    <s v="Male"/>
    <n v="5"/>
    <n v="5"/>
    <n v="3"/>
    <n v="68407"/>
    <n v="20"/>
    <s v="Production Technician II"/>
    <x v="0"/>
    <n v="2176"/>
    <d v="1986-10-12T00:00:00"/>
    <n v="39"/>
    <s v="F"/>
    <s v="Married"/>
    <d v="2011-05-07T00:00:00"/>
    <x v="0"/>
    <s v="Production       "/>
    <s v="Amy Dunn"/>
    <n v="11"/>
    <s v="LinkedIn"/>
    <n v="0"/>
    <n v="0"/>
    <n v="16"/>
  </r>
  <r>
    <s v="Mangal, Debbie"/>
    <n v="10279"/>
    <s v="Male"/>
    <n v="1"/>
    <n v="5"/>
    <n v="3"/>
    <n v="61349"/>
    <n v="19"/>
    <s v="Production Technician I"/>
    <x v="0"/>
    <n v="2451"/>
    <d v="1974-07-11T00:00:00"/>
    <n v="51"/>
    <s v="F"/>
    <s v="Married"/>
    <d v="2013-11-11T00:00:00"/>
    <x v="23"/>
    <s v="Production       "/>
    <s v="Brannon Miller"/>
    <n v="12"/>
    <s v="LinkedIn"/>
    <n v="0"/>
    <n v="0"/>
    <n v="11"/>
  </r>
  <r>
    <s v="Martin, Sandra"/>
    <n v="10110"/>
    <s v="Male"/>
    <n v="1"/>
    <n v="4"/>
    <n v="3"/>
    <n v="105688"/>
    <n v="24"/>
    <s v="Software Engineer"/>
    <x v="0"/>
    <n v="2135"/>
    <d v="1987-07-11T00:00:00"/>
    <n v="38"/>
    <s v="F"/>
    <s v="Single"/>
    <d v="2013-11-11T00:00:00"/>
    <x v="23"/>
    <s v="Software Engineering"/>
    <s v="Alex Sweetwater"/>
    <n v="10"/>
    <s v="Google Search"/>
    <n v="4"/>
    <n v="0"/>
    <n v="14"/>
  </r>
  <r>
    <s v="Maurice, Shana"/>
    <n v="10053"/>
    <s v="Male"/>
    <n v="1"/>
    <n v="5"/>
    <n v="3"/>
    <n v="54132"/>
    <n v="19"/>
    <s v="Production Technician I"/>
    <x v="0"/>
    <n v="2330"/>
    <d v="1977-12-11T00:00:00"/>
    <n v="48"/>
    <s v="F"/>
    <s v="Married"/>
    <d v="2011-05-31T00:00:00"/>
    <x v="73"/>
    <s v="Production       "/>
    <s v="David Stanley"/>
    <n v="14"/>
    <s v="Indeed"/>
    <n v="0"/>
    <n v="0"/>
    <n v="8"/>
  </r>
  <r>
    <s v="Carthy, B'rigit"/>
    <n v="10076"/>
    <s v="Male"/>
    <n v="1"/>
    <n v="5"/>
    <n v="3"/>
    <n v="55315"/>
    <n v="20"/>
    <s v="Production Technician II"/>
    <x v="0"/>
    <n v="2149"/>
    <d v="1987-01-05T00:00:00"/>
    <n v="39"/>
    <s v="F"/>
    <s v="Single"/>
    <d v="2015-03-30T00:00:00"/>
    <x v="1"/>
    <s v="Production       "/>
    <s v="Ketsia Liebig"/>
    <n v="19"/>
    <s v="LinkedIn"/>
    <n v="0"/>
    <n v="0"/>
    <n v="16"/>
  </r>
  <r>
    <s v="Mckenna, Sandy"/>
    <n v="10145"/>
    <s v="Male"/>
    <n v="1"/>
    <n v="5"/>
    <n v="3"/>
    <n v="62810"/>
    <n v="19"/>
    <s v="Production Technician I"/>
    <x v="0"/>
    <n v="2184"/>
    <d v="1987-07-01T00:00:00"/>
    <n v="38"/>
    <s v="F"/>
    <s v="Married"/>
    <d v="2013-07-01T00:00:00"/>
    <x v="46"/>
    <s v="Production       "/>
    <s v="Kissy Sullivan"/>
    <n v="20"/>
    <s v="CareerBuilder"/>
    <n v="0"/>
    <n v="0"/>
    <n v="20"/>
  </r>
  <r>
    <s v="McKinzie, Jac"/>
    <n v="10202"/>
    <s v="Female"/>
    <n v="2"/>
    <n v="6"/>
    <n v="3"/>
    <n v="63291"/>
    <n v="3"/>
    <s v="Area Sales Manager"/>
    <x v="1"/>
    <n v="78789"/>
    <d v="1984-01-07T00:00:00"/>
    <n v="42"/>
    <s v="M "/>
    <s v="Married"/>
    <d v="2016-06-07T00:00:00"/>
    <x v="38"/>
    <s v="Sales"/>
    <s v="Lynn Daneault"/>
    <n v="21"/>
    <s v="Website"/>
    <n v="0"/>
    <n v="0"/>
    <n v="7"/>
  </r>
  <r>
    <s v="Meads, Elizabeth"/>
    <n v="10128"/>
    <s v="Male"/>
    <n v="5"/>
    <n v="5"/>
    <n v="3"/>
    <n v="62659"/>
    <n v="19"/>
    <s v="Production Technician I"/>
    <x v="0"/>
    <n v="1760"/>
    <d v="1968-03-05T00:00:00"/>
    <n v="58"/>
    <s v="F"/>
    <s v="Single"/>
    <d v="2012-02-04T00:00:00"/>
    <x v="10"/>
    <s v="Production       "/>
    <s v="Kelley Spirea"/>
    <n v="18"/>
    <s v="Diversity Job Fair"/>
    <n v="0"/>
    <n v="0"/>
    <n v="17"/>
  </r>
  <r>
    <s v="Medeiros, Jennifer"/>
    <n v="10068"/>
    <s v="Male"/>
    <n v="1"/>
    <n v="5"/>
    <n v="3"/>
    <n v="55688"/>
    <n v="19"/>
    <s v="Production Technician I"/>
    <x v="0"/>
    <n v="2346"/>
    <d v="1976-02-09T00:00:00"/>
    <n v="50"/>
    <s v="F"/>
    <s v="Single"/>
    <d v="2015-03-30T00:00:00"/>
    <x v="1"/>
    <s v="Production       "/>
    <s v="Michael Albert"/>
    <n v="22"/>
    <s v="CareerBuilder"/>
    <n v="0"/>
    <n v="0"/>
    <n v="10"/>
  </r>
  <r>
    <s v="Miller, Brannon"/>
    <n v="10116"/>
    <s v="Female"/>
    <n v="1"/>
    <n v="5"/>
    <n v="3"/>
    <n v="83667"/>
    <n v="18"/>
    <s v="Production Manager"/>
    <x v="0"/>
    <n v="2045"/>
    <d v="1981-10-08T00:00:00"/>
    <n v="44"/>
    <s v="M "/>
    <s v="Single"/>
    <d v="2012-08-16T00:00:00"/>
    <x v="74"/>
    <s v="Production       "/>
    <s v="Janet King"/>
    <n v="2"/>
    <s v="Indeed"/>
    <n v="0"/>
    <n v="0"/>
    <n v="2"/>
  </r>
  <r>
    <s v="Miller, Ned"/>
    <n v="10298"/>
    <s v="Female"/>
    <n v="5"/>
    <n v="5"/>
    <n v="1"/>
    <n v="55800"/>
    <n v="20"/>
    <s v="Production Technician II"/>
    <x v="0"/>
    <n v="2472"/>
    <d v="1985-09-06T00:00:00"/>
    <n v="40"/>
    <s v="M "/>
    <s v="Single"/>
    <d v="2011-08-15T00:00:00"/>
    <x v="24"/>
    <s v="Production       "/>
    <s v="Brannon Miller"/>
    <n v="12"/>
    <s v="LinkedIn"/>
    <n v="0"/>
    <n v="6"/>
    <n v="6"/>
  </r>
  <r>
    <s v="Monkfish, Erasumus"/>
    <n v="10213"/>
    <s v="Female"/>
    <n v="1"/>
    <n v="5"/>
    <n v="3"/>
    <n v="58207"/>
    <n v="20"/>
    <s v="Production Technician II"/>
    <x v="0"/>
    <n v="1450"/>
    <d v="1992-07-08T00:00:00"/>
    <n v="33"/>
    <s v="M "/>
    <s v="Married"/>
    <d v="2011-07-11T00:00:00"/>
    <x v="43"/>
    <s v="Production       "/>
    <s v="David Stanley"/>
    <n v="14"/>
    <s v="LinkedIn"/>
    <n v="0"/>
    <n v="0"/>
    <n v="14"/>
  </r>
  <r>
    <s v="Monroe, Peter"/>
    <n v="10288"/>
    <s v="Female"/>
    <n v="1"/>
    <n v="3"/>
    <n v="2"/>
    <n v="157000"/>
    <n v="13"/>
    <s v="IT Manager - Infra"/>
    <x v="0"/>
    <n v="2134"/>
    <d v="1986-05-10T00:00:00"/>
    <n v="39"/>
    <s v="M "/>
    <s v="Married"/>
    <d v="2012-02-15T00:00:00"/>
    <x v="75"/>
    <s v="IT/IS"/>
    <s v="Jennifer Zamora"/>
    <n v="5"/>
    <s v="Diversity Job Fair"/>
    <n v="6"/>
    <n v="4"/>
    <n v="13"/>
  </r>
  <r>
    <s v="Monterro, Luisa"/>
    <n v="10025"/>
    <s v="Male"/>
    <n v="1"/>
    <n v="5"/>
    <n v="4"/>
    <n v="72460"/>
    <n v="20"/>
    <s v="Production Technician II"/>
    <x v="0"/>
    <n v="2126"/>
    <d v="1970-04-04T00:00:00"/>
    <n v="56"/>
    <s v="F"/>
    <s v="Single"/>
    <d v="2013-05-13T00:00:00"/>
    <x v="76"/>
    <s v="Production       "/>
    <s v="Kissy Sullivan"/>
    <n v="20"/>
    <s v="Indeed"/>
    <n v="0"/>
    <n v="0"/>
    <n v="1"/>
  </r>
  <r>
    <s v="Moran, Patrick"/>
    <n v="10223"/>
    <s v="Female"/>
    <n v="3"/>
    <n v="5"/>
    <n v="3"/>
    <n v="72106"/>
    <n v="20"/>
    <s v="Production Technician II"/>
    <x v="0"/>
    <n v="2127"/>
    <d v="1976-03-12T00:00:00"/>
    <n v="50"/>
    <s v="M "/>
    <s v="Single"/>
    <d v="2012-09-01T00:00:00"/>
    <x v="4"/>
    <s v="Production       "/>
    <s v="Kelley Spirea"/>
    <n v="18"/>
    <s v="Diversity Job Fair"/>
    <n v="0"/>
    <n v="0"/>
    <n v="12"/>
  </r>
  <r>
    <s v="Morway, Tanya"/>
    <n v="10151"/>
    <s v="Male"/>
    <n v="1"/>
    <n v="3"/>
    <n v="3"/>
    <n v="52599"/>
    <n v="15"/>
    <s v="Network Engineer"/>
    <x v="0"/>
    <n v="2048"/>
    <d v="1979-04-04T00:00:00"/>
    <n v="47"/>
    <s v="F"/>
    <s v="Married"/>
    <d v="2015-02-16T00:00:00"/>
    <x v="20"/>
    <s v="IT/IS"/>
    <s v="Peter Monroe"/>
    <n v="7"/>
    <s v="CareerBuilder"/>
    <n v="6"/>
    <n v="0"/>
    <n v="6"/>
  </r>
  <r>
    <s v="Motlagh,  Dawn"/>
    <n v="10254"/>
    <s v="Male"/>
    <n v="1"/>
    <n v="5"/>
    <n v="3"/>
    <n v="63430"/>
    <n v="19"/>
    <s v="Production Technician I"/>
    <x v="0"/>
    <n v="2453"/>
    <d v="1984-07-07T00:00:00"/>
    <n v="41"/>
    <s v="F"/>
    <s v="Divorced"/>
    <d v="2013-01-04T00:00:00"/>
    <x v="77"/>
    <s v="Production       "/>
    <s v="Elijiah Gray"/>
    <n v="16"/>
    <s v="LinkedIn"/>
    <n v="0"/>
    <n v="0"/>
    <n v="18"/>
  </r>
  <r>
    <s v="Moumanil, Maliki "/>
    <n v="10120"/>
    <s v="Female"/>
    <n v="1"/>
    <n v="5"/>
    <n v="3"/>
    <n v="74417"/>
    <n v="20"/>
    <s v="Production Technician II"/>
    <x v="0"/>
    <n v="1460"/>
    <d v="1974-01-12T00:00:00"/>
    <n v="52"/>
    <s v="M "/>
    <s v="Separated"/>
    <d v="2013-05-13T00:00:00"/>
    <x v="76"/>
    <s v="Production       "/>
    <s v="Michael Albert"/>
    <n v="22"/>
    <s v="LinkedIn"/>
    <n v="0"/>
    <n v="0"/>
    <n v="11"/>
  </r>
  <r>
    <s v="Myers, Michael"/>
    <n v="10216"/>
    <s v="Female"/>
    <n v="1"/>
    <n v="5"/>
    <n v="3"/>
    <n v="57575"/>
    <n v="19"/>
    <s v="Production Technician I"/>
    <x v="0"/>
    <n v="1550"/>
    <d v="1980-08-04T00:00:00"/>
    <n v="45"/>
    <s v="M "/>
    <s v="Single"/>
    <d v="2013-08-07T00:00:00"/>
    <x v="17"/>
    <s v="Production       "/>
    <s v="Kissy Sullivan"/>
    <n v="20"/>
    <s v="LinkedIn"/>
    <n v="0"/>
    <n v="0"/>
    <n v="13"/>
  </r>
  <r>
    <s v="Navathe, Kurt"/>
    <n v="10079"/>
    <s v="Female"/>
    <n v="1"/>
    <n v="3"/>
    <n v="3"/>
    <n v="87921"/>
    <n v="22"/>
    <s v="Senior BI Developer"/>
    <x v="0"/>
    <n v="2056"/>
    <s v="04/25/70"/>
    <e v="#VALUE!"/>
    <s v="M "/>
    <s v="Single"/>
    <d v="2017-10-02T00:00:00"/>
    <x v="78"/>
    <s v="IT/IS"/>
    <s v="Brian Champaigne"/>
    <n v="13"/>
    <s v="Indeed"/>
    <n v="6"/>
    <n v="0"/>
    <n v="17"/>
  </r>
  <r>
    <s v="Ndzi, Colombui"/>
    <n v="10215"/>
    <s v="Female"/>
    <n v="5"/>
    <n v="5"/>
    <n v="3"/>
    <n v="50470"/>
    <n v="19"/>
    <s v="Production Technician I"/>
    <x v="0"/>
    <n v="2110"/>
    <d v="1989-02-05T00:00:00"/>
    <n v="37"/>
    <s v="M "/>
    <s v="Single"/>
    <d v="2011-09-26T00:00:00"/>
    <x v="65"/>
    <s v="Production       "/>
    <s v="Webster Butler"/>
    <n v="39"/>
    <s v="Diversity Job Fair"/>
    <n v="0"/>
    <n v="0"/>
    <n v="19"/>
  </r>
  <r>
    <s v="Ndzi, Horia"/>
    <n v="10185"/>
    <s v="Female"/>
    <n v="5"/>
    <n v="5"/>
    <n v="3"/>
    <n v="46664"/>
    <n v="19"/>
    <s v="Production Technician I"/>
    <x v="0"/>
    <n v="2421"/>
    <d v="1983-02-03T00:00:00"/>
    <n v="43"/>
    <s v="M "/>
    <s v="Married"/>
    <d v="2013-01-04T00:00:00"/>
    <x v="77"/>
    <s v="Production       "/>
    <s v="Amy Dunn"/>
    <n v="11"/>
    <s v="Employee Referral"/>
    <n v="0"/>
    <n v="0"/>
    <n v="10"/>
  </r>
  <r>
    <s v="Newman, Richard "/>
    <n v="10063"/>
    <s v="Female"/>
    <n v="3"/>
    <n v="5"/>
    <n v="3"/>
    <n v="48495"/>
    <n v="19"/>
    <s v="Production Technician I"/>
    <x v="0"/>
    <n v="2136"/>
    <d v="1977-08-04T00:00:00"/>
    <n v="48"/>
    <s v="M "/>
    <s v="Married"/>
    <d v="2014-12-05T00:00:00"/>
    <x v="31"/>
    <s v="Production       "/>
    <s v="Ketsia Liebig"/>
    <n v="19"/>
    <s v="LinkedIn"/>
    <n v="0"/>
    <n v="0"/>
    <n v="11"/>
  </r>
  <r>
    <s v="Ngodup, Shari "/>
    <n v="10037"/>
    <s v="Male"/>
    <n v="1"/>
    <n v="5"/>
    <n v="4"/>
    <n v="52984"/>
    <n v="19"/>
    <s v="Production Technician I"/>
    <x v="0"/>
    <n v="1810"/>
    <d v="1967-03-06T00:00:00"/>
    <n v="59"/>
    <s v="F"/>
    <s v="Separated"/>
    <d v="2013-01-04T00:00:00"/>
    <x v="77"/>
    <s v="Production       "/>
    <s v="Brannon Miller"/>
    <n v="12"/>
    <s v="Diversity Job Fair"/>
    <n v="0"/>
    <n v="0"/>
    <n v="12"/>
  </r>
  <r>
    <s v="Nguyen, Dheepa"/>
    <n v="10042"/>
    <s v="Male"/>
    <n v="1"/>
    <n v="6"/>
    <n v="3"/>
    <n v="63695"/>
    <n v="3"/>
    <s v="Area Sales Manager"/>
    <x v="17"/>
    <n v="30428"/>
    <d v="1989-11-03T00:00:00"/>
    <n v="36"/>
    <s v="F"/>
    <s v="Single"/>
    <d v="2013-08-07T00:00:00"/>
    <x v="17"/>
    <s v="Sales"/>
    <s v="Lynn Daneault"/>
    <n v="21"/>
    <s v="Indeed"/>
    <n v="0"/>
    <n v="0"/>
    <n v="2"/>
  </r>
  <r>
    <s v="Nguyen, Lei-Ming"/>
    <n v="10206"/>
    <s v="Male"/>
    <n v="1"/>
    <n v="5"/>
    <n v="3"/>
    <n v="62061"/>
    <n v="19"/>
    <s v="Production Technician I"/>
    <x v="0"/>
    <n v="2132"/>
    <d v="1984-07-07T00:00:00"/>
    <n v="41"/>
    <s v="F"/>
    <s v="Single"/>
    <d v="2013-08-07T00:00:00"/>
    <x v="17"/>
    <s v="Production       "/>
    <s v="David Stanley"/>
    <n v="14"/>
    <s v="LinkedIn"/>
    <n v="0"/>
    <n v="0"/>
    <n v="4"/>
  </r>
  <r>
    <s v="Nowlan, Kristie"/>
    <n v="10104"/>
    <s v="Male"/>
    <n v="1"/>
    <n v="5"/>
    <n v="3"/>
    <n v="66738"/>
    <n v="20"/>
    <s v="Production Technician II"/>
    <x v="0"/>
    <n v="1040"/>
    <d v="1985-03-11T00:00:00"/>
    <n v="41"/>
    <s v="F"/>
    <s v="Single"/>
    <d v="2014-10-11T00:00:00"/>
    <x v="5"/>
    <s v="Production       "/>
    <s v="Elijiah Gray"/>
    <n v="16"/>
    <s v="Indeed"/>
    <n v="0"/>
    <n v="0"/>
    <n v="5"/>
  </r>
  <r>
    <s v="O'hare, Lynn"/>
    <n v="10303"/>
    <s v="Male"/>
    <n v="4"/>
    <n v="5"/>
    <n v="1"/>
    <n v="52674"/>
    <n v="19"/>
    <s v="Production Technician I"/>
    <x v="0"/>
    <n v="2152"/>
    <d v="1980-03-09T00:00:00"/>
    <n v="46"/>
    <s v="F"/>
    <s v="Single"/>
    <d v="2014-03-31T00:00:00"/>
    <x v="27"/>
    <s v="Production       "/>
    <s v="Kissy Sullivan"/>
    <n v="20"/>
    <s v="LinkedIn"/>
    <n v="0"/>
    <n v="6"/>
    <n v="3"/>
  </r>
  <r>
    <s v="Oliver, Brooke "/>
    <n v="10078"/>
    <s v="Male"/>
    <n v="5"/>
    <n v="5"/>
    <n v="3"/>
    <n v="71966"/>
    <n v="20"/>
    <s v="Production Technician II"/>
    <x v="0"/>
    <n v="2492"/>
    <d v="1952-11-02T00:00:00"/>
    <n v="73"/>
    <s v="F"/>
    <s v="Married"/>
    <d v="2012-05-14T00:00:00"/>
    <x v="32"/>
    <s v="Production       "/>
    <s v="Webster Butler"/>
    <n v="39"/>
    <s v="LinkedIn"/>
    <n v="0"/>
    <n v="0"/>
    <n v="17"/>
  </r>
  <r>
    <s v="Onque, Jasmine"/>
    <n v="10121"/>
    <s v="Male"/>
    <n v="1"/>
    <n v="6"/>
    <n v="3"/>
    <n v="63051"/>
    <n v="3"/>
    <s v="Area Sales Manager"/>
    <x v="18"/>
    <n v="33174"/>
    <d v="1990-11-05T00:00:00"/>
    <n v="35"/>
    <s v="F"/>
    <s v="Single"/>
    <d v="2013-09-30T00:00:00"/>
    <x v="6"/>
    <s v="Sales"/>
    <s v="Lynn Daneault"/>
    <n v="21"/>
    <s v="Indeed"/>
    <n v="0"/>
    <n v="0"/>
    <n v="1"/>
  </r>
  <r>
    <s v="Osturnka, Adeel"/>
    <n v="10021"/>
    <s v="Female"/>
    <n v="1"/>
    <n v="5"/>
    <n v="4"/>
    <n v="47414"/>
    <n v="19"/>
    <s v="Production Technician I"/>
    <x v="0"/>
    <n v="2478"/>
    <d v="1976-11-12T00:00:00"/>
    <n v="49"/>
    <s v="M "/>
    <s v="Married"/>
    <d v="2013-09-30T00:00:00"/>
    <x v="6"/>
    <s v="Production       "/>
    <s v="Kelley Spirea"/>
    <n v="18"/>
    <s v="LinkedIn"/>
    <n v="0"/>
    <n v="0"/>
    <n v="13"/>
  </r>
  <r>
    <s v="Owad, Clinton"/>
    <n v="10281"/>
    <s v="Female"/>
    <n v="1"/>
    <n v="5"/>
    <n v="2"/>
    <n v="53060"/>
    <n v="19"/>
    <s v="Production Technician I"/>
    <x v="0"/>
    <n v="1760"/>
    <d v="1979-04-11T00:00:00"/>
    <n v="46"/>
    <s v="M "/>
    <s v="Single"/>
    <d v="2014-02-17T00:00:00"/>
    <x v="19"/>
    <s v="Production       "/>
    <s v="Michael Albert"/>
    <n v="22"/>
    <s v="LinkedIn"/>
    <n v="0"/>
    <n v="4"/>
    <n v="6"/>
  </r>
  <r>
    <s v="Ozark, Travis"/>
    <n v="10041"/>
    <s v="Female"/>
    <n v="1"/>
    <n v="6"/>
    <n v="3"/>
    <n v="68829"/>
    <n v="3"/>
    <s v="Area Sales Manager"/>
    <x v="19"/>
    <n v="27229"/>
    <d v="1982-11-05T00:00:00"/>
    <n v="43"/>
    <s v="M "/>
    <s v="Single"/>
    <d v="2015-05-01T00:00:00"/>
    <x v="8"/>
    <s v="Sales"/>
    <s v="John Smith"/>
    <n v="17"/>
    <s v="Website"/>
    <n v="0"/>
    <n v="0"/>
    <n v="18"/>
  </r>
  <r>
    <s v="Panjwani, Nina"/>
    <n v="10148"/>
    <s v="Male"/>
    <n v="5"/>
    <n v="5"/>
    <n v="3"/>
    <n v="63515"/>
    <n v="19"/>
    <s v="Production Technician I"/>
    <x v="0"/>
    <n v="2351"/>
    <d v="1979-01-05T00:00:00"/>
    <n v="47"/>
    <s v="F"/>
    <s v="Married"/>
    <d v="2011-07-02T00:00:00"/>
    <x v="79"/>
    <s v="Production       "/>
    <s v="Elijiah Gray"/>
    <n v="16"/>
    <s v="Google Search"/>
    <n v="0"/>
    <n v="0"/>
    <n v="7"/>
  </r>
  <r>
    <s v="Patronick, Lucas"/>
    <n v="10005"/>
    <s v="Female"/>
    <n v="5"/>
    <n v="4"/>
    <n v="4"/>
    <n v="108987"/>
    <n v="24"/>
    <s v="Software Engineer"/>
    <x v="0"/>
    <n v="1844"/>
    <d v="1979-02-02T00:00:00"/>
    <n v="47"/>
    <s v="M "/>
    <s v="Single"/>
    <d v="2011-07-11T00:00:00"/>
    <x v="43"/>
    <s v="Software Engineering"/>
    <s v="Alex Sweetwater"/>
    <n v="10"/>
    <s v="Diversity Job Fair"/>
    <n v="3"/>
    <n v="0"/>
    <n v="13"/>
  </r>
  <r>
    <s v="Pearson, Randall"/>
    <n v="10259"/>
    <s v="Female"/>
    <n v="5"/>
    <n v="3"/>
    <n v="3"/>
    <n v="93093"/>
    <n v="9"/>
    <s v="Data Analyst"/>
    <x v="0"/>
    <n v="2747"/>
    <d v="1984-05-09T00:00:00"/>
    <n v="41"/>
    <s v="M "/>
    <s v="Married"/>
    <d v="2014-01-12T00:00:00"/>
    <x v="80"/>
    <s v="IT/IS"/>
    <s v="Simon Roup"/>
    <n v="4"/>
    <s v="Employee Referral"/>
    <n v="5"/>
    <n v="0"/>
    <n v="19"/>
  </r>
  <r>
    <s v="Smith, Martin"/>
    <n v="10286"/>
    <s v="Female"/>
    <n v="5"/>
    <n v="5"/>
    <n v="2"/>
    <n v="53564"/>
    <n v="19"/>
    <s v="Production Technician I"/>
    <x v="0"/>
    <n v="2458"/>
    <d v="1988-07-03T00:00:00"/>
    <n v="37"/>
    <s v="M "/>
    <s v="Single"/>
    <d v="2011-10-01T00:00:00"/>
    <x v="9"/>
    <s v="Production       "/>
    <s v="Webster Butler"/>
    <n v="39"/>
    <s v="Google Search"/>
    <n v="0"/>
    <n v="4"/>
    <n v="15"/>
  </r>
  <r>
    <s v="Pelletier, Ermine"/>
    <n v="10297"/>
    <s v="Male"/>
    <n v="5"/>
    <n v="5"/>
    <n v="2"/>
    <n v="60270"/>
    <n v="20"/>
    <s v="Production Technician II"/>
    <x v="0"/>
    <n v="2472"/>
    <d v="1989-11-07T00:00:00"/>
    <n v="36"/>
    <s v="F"/>
    <s v="Married"/>
    <d v="2011-05-07T00:00:00"/>
    <x v="0"/>
    <s v="Production       "/>
    <s v="Amy Dunn"/>
    <n v="11"/>
    <s v="CareerBuilder"/>
    <n v="0"/>
    <n v="5"/>
    <n v="2"/>
  </r>
  <r>
    <s v="Perry, Shakira"/>
    <n v="10171"/>
    <s v="Male"/>
    <n v="5"/>
    <n v="5"/>
    <n v="3"/>
    <n v="45998"/>
    <n v="19"/>
    <s v="Production Technician I"/>
    <x v="0"/>
    <n v="2176"/>
    <d v="1986-02-07T00:00:00"/>
    <n v="40"/>
    <s v="F"/>
    <s v="Single"/>
    <d v="2011-05-16T00:00:00"/>
    <x v="36"/>
    <s v="Production       "/>
    <s v="Amy Dunn"/>
    <n v="11"/>
    <s v="LinkedIn"/>
    <n v="0"/>
    <n v="0"/>
    <n v="5"/>
  </r>
  <r>
    <s v="Peters, Lauren"/>
    <n v="10032"/>
    <s v="Male"/>
    <n v="5"/>
    <n v="5"/>
    <n v="4"/>
    <n v="57954"/>
    <n v="20"/>
    <s v="Production Technician II"/>
    <x v="0"/>
    <n v="1886"/>
    <d v="1986-07-08T00:00:00"/>
    <n v="39"/>
    <s v="F"/>
    <s v="Married"/>
    <d v="2011-05-16T00:00:00"/>
    <x v="36"/>
    <s v="Production       "/>
    <s v="Ketsia Liebig"/>
    <n v="19"/>
    <s v="Indeed"/>
    <n v="0"/>
    <n v="0"/>
    <n v="12"/>
  </r>
  <r>
    <s v="Peterson, Ebonee  "/>
    <n v="10130"/>
    <s v="Male"/>
    <n v="5"/>
    <n v="5"/>
    <n v="3"/>
    <n v="74669"/>
    <n v="18"/>
    <s v="Production Manager"/>
    <x v="0"/>
    <n v="2030"/>
    <d v="1977-09-05T00:00:00"/>
    <n v="48"/>
    <s v="F"/>
    <s v="Married"/>
    <d v="2010-10-15T00:00:00"/>
    <x v="81"/>
    <s v="Production       "/>
    <s v="Janet King"/>
    <n v="2"/>
    <s v="Indeed"/>
    <n v="0"/>
    <n v="0"/>
    <n v="6"/>
  </r>
  <r>
    <s v="Petingill, Shana  "/>
    <n v="10217"/>
    <s v="Male"/>
    <n v="1"/>
    <n v="5"/>
    <n v="3"/>
    <n v="74226"/>
    <n v="20"/>
    <s v="Production Technician II"/>
    <x v="0"/>
    <n v="2050"/>
    <d v="1979-10-03T00:00:00"/>
    <n v="46"/>
    <s v="F"/>
    <s v="Married"/>
    <d v="2012-02-04T00:00:00"/>
    <x v="10"/>
    <s v="Production       "/>
    <s v="Brannon Miller"/>
    <n v="12"/>
    <s v="LinkedIn"/>
    <n v="0"/>
    <n v="0"/>
    <n v="14"/>
  </r>
  <r>
    <s v="Petrowsky, Thelma"/>
    <n v="10016"/>
    <s v="Male"/>
    <n v="1"/>
    <n v="3"/>
    <n v="4"/>
    <n v="93554"/>
    <n v="9"/>
    <s v="Data Analyst"/>
    <x v="0"/>
    <n v="1886"/>
    <d v="1984-06-09T00:00:00"/>
    <n v="41"/>
    <s v="F"/>
    <s v="Married"/>
    <d v="2014-10-11T00:00:00"/>
    <x v="5"/>
    <s v="IT/IS"/>
    <s v="Simon Roup"/>
    <n v="4"/>
    <s v="Employee Referral"/>
    <n v="7"/>
    <n v="0"/>
    <n v="16"/>
  </r>
  <r>
    <s v="Pham, Hong"/>
    <n v="10050"/>
    <s v="Female"/>
    <n v="5"/>
    <n v="5"/>
    <n v="3"/>
    <n v="64724"/>
    <n v="19"/>
    <s v="Production Technician I"/>
    <x v="0"/>
    <n v="2451"/>
    <d v="1988-06-03T00:00:00"/>
    <n v="37"/>
    <s v="M "/>
    <s v="Married"/>
    <d v="2011-05-07T00:00:00"/>
    <x v="0"/>
    <s v="Production       "/>
    <s v="Brannon Miller"/>
    <n v="12"/>
    <s v="Google Search"/>
    <n v="0"/>
    <n v="0"/>
    <n v="13"/>
  </r>
  <r>
    <s v="Pitt, Brad "/>
    <n v="10164"/>
    <s v="Female"/>
    <n v="1"/>
    <n v="5"/>
    <n v="3"/>
    <n v="47001"/>
    <n v="19"/>
    <s v="Production Technician I"/>
    <x v="0"/>
    <n v="2451"/>
    <d v="1981-03-11T00:00:00"/>
    <n v="45"/>
    <s v="M "/>
    <s v="Single"/>
    <d v="2007-05-11T00:00:00"/>
    <x v="82"/>
    <s v="Production       "/>
    <s v="David Stanley"/>
    <n v="14"/>
    <s v="Google Search"/>
    <n v="0"/>
    <n v="0"/>
    <n v="15"/>
  </r>
  <r>
    <s v="Potts, Xana"/>
    <n v="10124"/>
    <s v="Male"/>
    <n v="1"/>
    <n v="6"/>
    <n v="3"/>
    <n v="61844"/>
    <n v="3"/>
    <s v="Area Sales Manager"/>
    <x v="20"/>
    <n v="40220"/>
    <d v="1988-09-08T00:00:00"/>
    <n v="37"/>
    <s v="F"/>
    <s v="Married"/>
    <d v="2012-09-01T00:00:00"/>
    <x v="4"/>
    <s v="Sales"/>
    <s v="Lynn Daneault"/>
    <n v="21"/>
    <s v="Website"/>
    <n v="0"/>
    <n v="0"/>
    <n v="9"/>
  </r>
  <r>
    <s v="Power, Morissa"/>
    <n v="10187"/>
    <s v="Male"/>
    <n v="5"/>
    <n v="5"/>
    <n v="3"/>
    <n v="46799"/>
    <n v="19"/>
    <s v="Production Technician I"/>
    <x v="0"/>
    <n v="1742"/>
    <d v="1984-05-10T00:00:00"/>
    <n v="41"/>
    <s v="F"/>
    <s v="Divorced"/>
    <d v="2011-05-16T00:00:00"/>
    <x v="36"/>
    <s v="Production       "/>
    <s v="Kissy Sullivan"/>
    <n v="20"/>
    <s v="Google Search"/>
    <n v="0"/>
    <n v="0"/>
    <n v="14"/>
  </r>
  <r>
    <s v="Punjabhi, Louis  "/>
    <n v="10225"/>
    <s v="Female"/>
    <n v="1"/>
    <n v="5"/>
    <n v="3"/>
    <n v="59472"/>
    <n v="19"/>
    <s v="Production Technician I"/>
    <x v="0"/>
    <n v="2109"/>
    <d v="1961-11-06T00:00:00"/>
    <n v="64"/>
    <s v="M "/>
    <s v="Single"/>
    <d v="2014-06-01T00:00:00"/>
    <x v="64"/>
    <s v="Production       "/>
    <s v="Kelley Spirea"/>
    <n v="18"/>
    <s v="Employee Referral"/>
    <n v="0"/>
    <n v="0"/>
    <n v="14"/>
  </r>
  <r>
    <s v="Purinton, Janine"/>
    <n v="10262"/>
    <s v="Male"/>
    <n v="5"/>
    <n v="5"/>
    <n v="3"/>
    <n v="46430"/>
    <n v="19"/>
    <s v="Production Technician I"/>
    <x v="0"/>
    <n v="2474"/>
    <d v="1970-12-09T00:00:00"/>
    <n v="55"/>
    <s v="F"/>
    <s v="Divorced"/>
    <d v="2012-09-24T00:00:00"/>
    <x v="12"/>
    <s v="Production       "/>
    <s v="Kissy Sullivan"/>
    <n v="20"/>
    <s v="Indeed"/>
    <n v="0"/>
    <n v="0"/>
    <n v="16"/>
  </r>
  <r>
    <s v="Quinn, Sean"/>
    <n v="10131"/>
    <s v="Female"/>
    <n v="5"/>
    <n v="1"/>
    <n v="3"/>
    <n v="83363"/>
    <n v="23"/>
    <s v="Software Engineer"/>
    <x v="0"/>
    <n v="2045"/>
    <d v="1984-06-11T00:00:00"/>
    <n v="41"/>
    <s v="M "/>
    <s v="Married"/>
    <d v="2011-02-21T00:00:00"/>
    <x v="13"/>
    <s v="Software Engineering"/>
    <s v="Janet King"/>
    <n v="2"/>
    <s v="Diversity Job Fair"/>
    <n v="0"/>
    <n v="0"/>
    <n v="4"/>
  </r>
  <r>
    <s v="Rachael, Maggie"/>
    <n v="10239"/>
    <s v="Male"/>
    <n v="1"/>
    <n v="3"/>
    <n v="3"/>
    <n v="95920"/>
    <n v="4"/>
    <s v="BI Developer"/>
    <x v="0"/>
    <n v="2110"/>
    <d v="1980-12-05T00:00:00"/>
    <n v="45"/>
    <s v="F"/>
    <s v="Married"/>
    <d v="2016-02-10T00:00:00"/>
    <x v="68"/>
    <s v="IT/IS"/>
    <s v="Brian Champaigne"/>
    <n v="13"/>
    <s v="Indeed"/>
    <n v="6"/>
    <n v="0"/>
    <n v="10"/>
  </r>
  <r>
    <s v="Rarrick, Quinn"/>
    <n v="10152"/>
    <s v="Female"/>
    <n v="5"/>
    <n v="5"/>
    <n v="3"/>
    <n v="61729"/>
    <n v="19"/>
    <s v="Production Technician I"/>
    <x v="0"/>
    <n v="2478"/>
    <d v="1984-11-12T00:00:00"/>
    <n v="41"/>
    <s v="M "/>
    <s v="Divorced"/>
    <d v="2011-09-26T00:00:00"/>
    <x v="65"/>
    <s v="Production       "/>
    <s v="Michael Albert"/>
    <n v="22"/>
    <s v="Indeed"/>
    <n v="0"/>
    <n v="0"/>
    <n v="19"/>
  </r>
  <r>
    <s v="Ren, Kylo"/>
    <n v="10140"/>
    <s v="Female"/>
    <n v="1"/>
    <n v="6"/>
    <n v="3"/>
    <n v="61809"/>
    <n v="3"/>
    <s v="Area Sales Manager"/>
    <x v="21"/>
    <n v="83706"/>
    <d v="1954-12-10T00:00:00"/>
    <n v="71"/>
    <s v="M "/>
    <s v="Married"/>
    <d v="2014-12-05T00:00:00"/>
    <x v="31"/>
    <s v="Sales"/>
    <s v="John Smith"/>
    <n v="17"/>
    <s v="CareerBuilder"/>
    <n v="0"/>
    <n v="0"/>
    <n v="4"/>
  </r>
  <r>
    <s v="Rhoads, Thomas"/>
    <n v="10058"/>
    <s v="Female"/>
    <n v="5"/>
    <n v="5"/>
    <n v="3"/>
    <n v="45115"/>
    <n v="19"/>
    <s v="Production Technician I"/>
    <x v="0"/>
    <n v="2176"/>
    <d v="1982-12-07T00:00:00"/>
    <n v="43"/>
    <s v="M "/>
    <s v="Divorced"/>
    <d v="2011-05-16T00:00:00"/>
    <x v="36"/>
    <s v="Production       "/>
    <s v="Elijiah Gray"/>
    <n v="16"/>
    <s v="LinkedIn"/>
    <n v="0"/>
    <n v="0"/>
    <n v="11"/>
  </r>
  <r>
    <s v="Rivera, Haley  "/>
    <n v="10011"/>
    <s v="Male"/>
    <n v="1"/>
    <n v="5"/>
    <n v="4"/>
    <n v="46738"/>
    <n v="19"/>
    <s v="Production Technician I"/>
    <x v="0"/>
    <n v="2171"/>
    <d v="1973-12-01T00:00:00"/>
    <n v="52"/>
    <s v="F"/>
    <s v="Married"/>
    <d v="2011-11-28T00:00:00"/>
    <x v="59"/>
    <s v="Production       "/>
    <s v="Webster Butler"/>
    <m/>
    <s v="Google Search"/>
    <n v="0"/>
    <n v="0"/>
    <n v="16"/>
  </r>
  <r>
    <s v="Roberson, May"/>
    <n v="10230"/>
    <s v="Male"/>
    <n v="5"/>
    <n v="5"/>
    <n v="3"/>
    <n v="64971"/>
    <n v="20"/>
    <s v="Production Technician II"/>
    <x v="0"/>
    <n v="1902"/>
    <d v="1981-05-09T00:00:00"/>
    <n v="44"/>
    <s v="F"/>
    <s v="Divorced"/>
    <d v="2011-09-26T00:00:00"/>
    <x v="65"/>
    <s v="Production       "/>
    <s v="David Stanley"/>
    <n v="14"/>
    <s v="Google Search"/>
    <n v="0"/>
    <n v="0"/>
    <n v="10"/>
  </r>
  <r>
    <s v="Robertson, Peter"/>
    <n v="10224"/>
    <s v="Female"/>
    <n v="5"/>
    <n v="5"/>
    <n v="3"/>
    <n v="55578"/>
    <n v="20"/>
    <s v="Production Technician II"/>
    <x v="0"/>
    <n v="2138"/>
    <d v="1972-03-07T00:00:00"/>
    <n v="54"/>
    <s v="M "/>
    <s v="Married"/>
    <d v="2011-05-07T00:00:00"/>
    <x v="0"/>
    <s v="Production       "/>
    <s v="Kissy Sullivan"/>
    <n v="20"/>
    <s v="Indeed"/>
    <n v="0"/>
    <n v="0"/>
    <n v="13"/>
  </r>
  <r>
    <s v="Robinson, Alain  "/>
    <n v="10047"/>
    <s v="Female"/>
    <n v="5"/>
    <n v="5"/>
    <n v="3"/>
    <n v="50428"/>
    <n v="19"/>
    <s v="Production Technician I"/>
    <x v="0"/>
    <n v="1420"/>
    <d v="1974-07-01T00:00:00"/>
    <n v="51"/>
    <s v="M "/>
    <s v="Married"/>
    <d v="2011-10-01T00:00:00"/>
    <x v="9"/>
    <s v="Production       "/>
    <s v="Amy Dunn"/>
    <n v="11"/>
    <s v="Indeed"/>
    <n v="0"/>
    <n v="0"/>
    <n v="11"/>
  </r>
  <r>
    <s v="Robinson, Cherly"/>
    <n v="10285"/>
    <s v="Male"/>
    <n v="4"/>
    <n v="5"/>
    <n v="2"/>
    <n v="61422"/>
    <n v="19"/>
    <s v="Production Technician I"/>
    <x v="0"/>
    <n v="1460"/>
    <d v="1985-07-01T00:00:00"/>
    <n v="40"/>
    <s v="F"/>
    <s v="Married"/>
    <d v="2011-10-01T00:00:00"/>
    <x v="9"/>
    <s v="Production       "/>
    <s v="Ketsia Liebig"/>
    <n v="19"/>
    <s v="Indeed"/>
    <n v="0"/>
    <n v="4"/>
    <n v="16"/>
  </r>
  <r>
    <s v="Robinson, Elias"/>
    <n v="10020"/>
    <s v="Female"/>
    <n v="1"/>
    <n v="5"/>
    <n v="4"/>
    <n v="63353"/>
    <n v="19"/>
    <s v="Production Technician I"/>
    <x v="0"/>
    <n v="1730"/>
    <d v="1985-08-01T00:00:00"/>
    <n v="40"/>
    <s v="M "/>
    <s v="Widowed"/>
    <d v="2013-08-07T00:00:00"/>
    <x v="17"/>
    <s v="Production       "/>
    <s v="Brannon Miller"/>
    <n v="12"/>
    <s v="Employee Referral"/>
    <n v="0"/>
    <n v="0"/>
    <n v="4"/>
  </r>
  <r>
    <s v="Roby, Lori "/>
    <n v="10162"/>
    <s v="Male"/>
    <n v="1"/>
    <n v="3"/>
    <n v="3"/>
    <n v="89883"/>
    <n v="9"/>
    <s v="Data Analyst"/>
    <x v="0"/>
    <n v="1886"/>
    <d v="1981-11-10T00:00:00"/>
    <n v="44"/>
    <s v="F"/>
    <s v="Married"/>
    <d v="2015-02-16T00:00:00"/>
    <x v="20"/>
    <s v="IT/IS"/>
    <s v="Simon Roup"/>
    <n v="4"/>
    <s v="Employee Referral"/>
    <n v="6"/>
    <n v="0"/>
    <n v="15"/>
  </r>
  <r>
    <s v="Roehrich, Bianca"/>
    <n v="10149"/>
    <s v="Male"/>
    <n v="5"/>
    <n v="3"/>
    <n v="3"/>
    <n v="120000"/>
    <n v="29"/>
    <s v="Principal Data Architect"/>
    <x v="0"/>
    <n v="2703"/>
    <d v="1973-07-05T00:00:00"/>
    <n v="52"/>
    <s v="F"/>
    <s v="Single"/>
    <d v="2015-05-01T00:00:00"/>
    <x v="8"/>
    <s v="IT/IS"/>
    <s v="Simon Roup"/>
    <n v="4"/>
    <s v="LinkedIn"/>
    <n v="7"/>
    <n v="0"/>
    <n v="12"/>
  </r>
  <r>
    <s v="Roper, Katie"/>
    <n v="10086"/>
    <s v="Male"/>
    <n v="1"/>
    <n v="3"/>
    <n v="3"/>
    <n v="150290"/>
    <n v="7"/>
    <s v="Data Architect"/>
    <x v="0"/>
    <n v="2056"/>
    <d v="1972-01-11T00:00:00"/>
    <n v="54"/>
    <s v="F"/>
    <s v="Single"/>
    <d v="2017-07-01T00:00:00"/>
    <x v="83"/>
    <s v="IT/IS"/>
    <s v="Brian Champaigne"/>
    <n v="13"/>
    <s v="Indeed"/>
    <n v="5"/>
    <n v="0"/>
    <n v="17"/>
  </r>
  <r>
    <s v="Rose, Ashley  "/>
    <n v="10054"/>
    <s v="Male"/>
    <n v="1"/>
    <n v="5"/>
    <n v="3"/>
    <n v="60627"/>
    <n v="19"/>
    <s v="Production Technician I"/>
    <x v="0"/>
    <n v="1886"/>
    <d v="1974-05-12T00:00:00"/>
    <n v="51"/>
    <s v="F"/>
    <s v="Separated"/>
    <d v="2014-06-01T00:00:00"/>
    <x v="64"/>
    <s v="Production       "/>
    <s v="David Stanley"/>
    <n v="14"/>
    <s v="Website"/>
    <n v="0"/>
    <n v="0"/>
    <n v="8"/>
  </r>
  <r>
    <s v="Rossetti, Bruno"/>
    <n v="10065"/>
    <s v="Female"/>
    <n v="5"/>
    <n v="5"/>
    <n v="3"/>
    <n v="53180"/>
    <n v="19"/>
    <s v="Production Technician I"/>
    <x v="0"/>
    <n v="2155"/>
    <d v="1987-08-03T00:00:00"/>
    <n v="38"/>
    <s v="M "/>
    <s v="Single"/>
    <d v="2011-04-04T00:00:00"/>
    <x v="15"/>
    <s v="Production       "/>
    <s v="Kissy Sullivan"/>
    <n v="20"/>
    <s v="Google Search"/>
    <n v="0"/>
    <n v="0"/>
    <n v="4"/>
  </r>
  <r>
    <s v="Roup,Simon"/>
    <n v="10198"/>
    <s v="Female"/>
    <n v="1"/>
    <n v="3"/>
    <n v="3"/>
    <n v="140920"/>
    <n v="13"/>
    <s v="IT Manager - DB"/>
    <x v="0"/>
    <n v="2481"/>
    <d v="1973-05-04T00:00:00"/>
    <n v="52"/>
    <s v="M "/>
    <s v="Single"/>
    <d v="2013-01-20T00:00:00"/>
    <x v="84"/>
    <s v="IT/IS"/>
    <s v="Jennifer Zamora"/>
    <n v="5"/>
    <s v="Indeed"/>
    <n v="7"/>
    <n v="0"/>
    <n v="13"/>
  </r>
  <r>
    <s v="Ruiz, Ricardo"/>
    <n v="10222"/>
    <s v="Female"/>
    <n v="5"/>
    <n v="3"/>
    <n v="3"/>
    <n v="148999"/>
    <n v="13"/>
    <s v="IT Manager - DB"/>
    <x v="0"/>
    <n v="1915"/>
    <d v="1964-04-01T00:00:00"/>
    <n v="62"/>
    <s v="M "/>
    <s v="Divorced"/>
    <d v="2012-09-01T00:00:00"/>
    <x v="4"/>
    <s v="IT/IS"/>
    <s v="Jennifer Zamora"/>
    <n v="5"/>
    <s v="Diversity Job Fair"/>
    <n v="6"/>
    <n v="0"/>
    <n v="8"/>
  </r>
  <r>
    <s v="Saada, Adell"/>
    <n v="10126"/>
    <s v="Male"/>
    <n v="1"/>
    <n v="4"/>
    <n v="3"/>
    <n v="86214"/>
    <n v="24"/>
    <s v="Software Engineer"/>
    <x v="0"/>
    <n v="2132"/>
    <d v="1986-04-07T00:00:00"/>
    <n v="40"/>
    <s v="F"/>
    <s v="Married"/>
    <d v="2012-05-11T00:00:00"/>
    <x v="63"/>
    <s v="Software Engineering"/>
    <s v="Alex Sweetwater"/>
    <n v="10"/>
    <s v="Indeed"/>
    <n v="6"/>
    <n v="0"/>
    <n v="2"/>
  </r>
  <r>
    <s v="Saar-Beckles, Melinda"/>
    <n v="10295"/>
    <s v="Male"/>
    <n v="2"/>
    <n v="5"/>
    <n v="2"/>
    <n v="47750"/>
    <n v="19"/>
    <s v="Production Technician I"/>
    <x v="0"/>
    <n v="1801"/>
    <d v="1968-06-06T00:00:00"/>
    <n v="57"/>
    <s v="F"/>
    <s v="Single"/>
    <d v="2016-04-07T00:00:00"/>
    <x v="85"/>
    <s v="Production       "/>
    <s v="Kelley Spirea"/>
    <n v="18"/>
    <s v="Diversity Job Fair"/>
    <n v="0"/>
    <n v="5"/>
    <n v="4"/>
  </r>
  <r>
    <s v="Sadki, Nore  "/>
    <n v="10260"/>
    <s v="Female"/>
    <n v="5"/>
    <n v="5"/>
    <n v="3"/>
    <n v="46428"/>
    <n v="19"/>
    <s v="Production Technician I"/>
    <x v="0"/>
    <n v="2148"/>
    <d v="1974-01-12T00:00:00"/>
    <n v="52"/>
    <s v="M "/>
    <s v="Single"/>
    <d v="2009-05-01T00:00:00"/>
    <x v="40"/>
    <s v="Production       "/>
    <s v="Michael Albert"/>
    <n v="22"/>
    <s v="Google Search"/>
    <n v="0"/>
    <n v="0"/>
    <n v="7"/>
  </r>
  <r>
    <s v="Sahoo, Adil"/>
    <n v="10233"/>
    <s v="Female"/>
    <n v="1"/>
    <n v="5"/>
    <n v="3"/>
    <n v="57975"/>
    <n v="20"/>
    <s v="Production Technician II"/>
    <x v="0"/>
    <n v="2062"/>
    <d v="1986-06-04T00:00:00"/>
    <n v="39"/>
    <s v="M "/>
    <s v="Married"/>
    <d v="2010-08-30T00:00:00"/>
    <x v="37"/>
    <s v="Production       "/>
    <s v="Kelley Spirea"/>
    <n v="18"/>
    <s v="CareerBuilder"/>
    <n v="0"/>
    <n v="0"/>
    <n v="13"/>
  </r>
  <r>
    <s v="Salter, Jason"/>
    <n v="10229"/>
    <s v="Female"/>
    <n v="5"/>
    <n v="3"/>
    <n v="3"/>
    <n v="88527"/>
    <n v="9"/>
    <s v="Data Analyst "/>
    <x v="0"/>
    <n v="2452"/>
    <d v="1987-07-12T00:00:00"/>
    <n v="38"/>
    <s v="M "/>
    <s v="Divorced"/>
    <d v="2015-05-01T00:00:00"/>
    <x v="8"/>
    <s v="IT/IS"/>
    <s v="Simon Roup"/>
    <n v="4"/>
    <s v="LinkedIn"/>
    <n v="5"/>
    <n v="0"/>
    <n v="2"/>
  </r>
  <r>
    <s v="Sander, Kamrin"/>
    <n v="10169"/>
    <s v="Male"/>
    <n v="1"/>
    <n v="5"/>
    <n v="3"/>
    <n v="56147"/>
    <n v="19"/>
    <s v="Production Technician I"/>
    <x v="0"/>
    <n v="2154"/>
    <d v="1988-10-07T00:00:00"/>
    <n v="37"/>
    <s v="F"/>
    <s v="Married"/>
    <d v="2014-09-29T00:00:00"/>
    <x v="22"/>
    <s v="Production       "/>
    <s v="Elijiah Gray"/>
    <n v="16"/>
    <s v="LinkedIn"/>
    <n v="0"/>
    <n v="0"/>
    <n v="2"/>
  </r>
  <r>
    <s v="Sewkumar, Nori"/>
    <n v="10071"/>
    <s v="Male"/>
    <n v="3"/>
    <n v="5"/>
    <n v="3"/>
    <n v="50923"/>
    <n v="19"/>
    <s v="Production Technician I"/>
    <x v="0"/>
    <n v="2191"/>
    <d v="1975-10-03T00:00:00"/>
    <n v="50"/>
    <s v="F"/>
    <s v="Single"/>
    <d v="2013-09-30T00:00:00"/>
    <x v="6"/>
    <s v="Production       "/>
    <s v="Webster Butler"/>
    <m/>
    <s v="Google Search"/>
    <n v="0"/>
    <n v="0"/>
    <n v="14"/>
  </r>
  <r>
    <s v="Shepard, Anita "/>
    <n v="10179"/>
    <s v="Male"/>
    <n v="1"/>
    <n v="3"/>
    <n v="3"/>
    <n v="50750"/>
    <n v="15"/>
    <s v="Network Engineer"/>
    <x v="0"/>
    <n v="1773"/>
    <d v="1981-04-04T00:00:00"/>
    <n v="45"/>
    <s v="F"/>
    <s v="Married"/>
    <d v="2014-09-30T00:00:00"/>
    <x v="86"/>
    <s v="IT/IS"/>
    <s v="Peter Monroe"/>
    <n v="7"/>
    <s v="LinkedIn"/>
    <n v="6"/>
    <n v="0"/>
    <n v="7"/>
  </r>
  <r>
    <s v="Shields, Seffi"/>
    <n v="10091"/>
    <s v="Male"/>
    <n v="1"/>
    <n v="5"/>
    <n v="3"/>
    <n v="52087"/>
    <n v="19"/>
    <s v="Production Technician I"/>
    <x v="0"/>
    <n v="2149"/>
    <d v="1985-04-08T00:00:00"/>
    <n v="41"/>
    <s v="F"/>
    <s v="Married"/>
    <d v="2013-08-19T00:00:00"/>
    <x v="55"/>
    <s v="Production       "/>
    <s v="Amy Dunn"/>
    <n v="11"/>
    <s v="LinkedIn"/>
    <n v="0"/>
    <n v="0"/>
    <n v="15"/>
  </r>
  <r>
    <s v="Simard, Kramer"/>
    <n v="10178"/>
    <s v="Female"/>
    <n v="1"/>
    <n v="3"/>
    <n v="3"/>
    <n v="87826"/>
    <n v="9"/>
    <s v="Data Analyst"/>
    <x v="0"/>
    <n v="2110"/>
    <d v="1970-08-02T00:00:00"/>
    <n v="55"/>
    <s v="M "/>
    <s v="Married"/>
    <d v="2015-05-01T00:00:00"/>
    <x v="8"/>
    <s v="IT/IS"/>
    <s v="Simon Roup"/>
    <n v="4"/>
    <s v="Employee Referral"/>
    <n v="7"/>
    <n v="0"/>
    <n v="16"/>
  </r>
  <r>
    <s v="Singh, Nan "/>
    <n v="10039"/>
    <s v="Male"/>
    <n v="1"/>
    <n v="1"/>
    <n v="3"/>
    <n v="51920"/>
    <n v="2"/>
    <s v="Administrative Assistant"/>
    <x v="0"/>
    <n v="2330"/>
    <d v="1988-09-05T00:00:00"/>
    <n v="37"/>
    <s v="F"/>
    <s v="Single"/>
    <d v="2015-01-05T00:00:00"/>
    <x v="87"/>
    <s v="Admin Offices"/>
    <s v="Brandon R. LeBlanc"/>
    <n v="1"/>
    <s v="Website"/>
    <n v="5"/>
    <n v="0"/>
    <n v="2"/>
  </r>
  <r>
    <s v="Sloan, Constance"/>
    <n v="10095"/>
    <s v="Male"/>
    <n v="5"/>
    <n v="5"/>
    <n v="3"/>
    <n v="63878"/>
    <n v="20"/>
    <s v="Production Technician II"/>
    <x v="0"/>
    <n v="1851"/>
    <d v="1987-05-11T00:00:00"/>
    <n v="38"/>
    <s v="F"/>
    <s v="Single"/>
    <d v="2009-10-26T00:00:00"/>
    <x v="88"/>
    <s v="Production       "/>
    <s v="Michael Albert"/>
    <n v="22"/>
    <s v="CareerBuilder"/>
    <n v="0"/>
    <n v="0"/>
    <n v="20"/>
  </r>
  <r>
    <s v="Smith, Joe"/>
    <n v="10027"/>
    <s v="Female"/>
    <n v="1"/>
    <n v="5"/>
    <n v="4"/>
    <n v="60656"/>
    <n v="20"/>
    <s v="Production Technician II"/>
    <x v="0"/>
    <n v="2045"/>
    <d v="1963-03-10T00:00:00"/>
    <n v="63"/>
    <s v="M "/>
    <s v="Single"/>
    <d v="2014-09-29T00:00:00"/>
    <x v="22"/>
    <s v="Production       "/>
    <s v="Elijiah Gray"/>
    <n v="16"/>
    <s v="Indeed"/>
    <n v="0"/>
    <n v="0"/>
    <n v="4"/>
  </r>
  <r>
    <s v="Smith, John"/>
    <n v="10291"/>
    <s v="Female"/>
    <n v="1"/>
    <n v="6"/>
    <n v="2"/>
    <n v="72992"/>
    <n v="21"/>
    <s v="Sales Manager"/>
    <x v="0"/>
    <n v="1886"/>
    <d v="1984-06-08T00:00:00"/>
    <n v="41"/>
    <s v="M "/>
    <s v="Divorced"/>
    <d v="2014-05-18T00:00:00"/>
    <x v="89"/>
    <s v="Sales"/>
    <s v="Debra Houlihan"/>
    <n v="15"/>
    <s v="Diversity Job Fair"/>
    <n v="0"/>
    <n v="2"/>
    <n v="16"/>
  </r>
  <r>
    <s v="Smith, Leigh Ann"/>
    <n v="10153"/>
    <s v="Male"/>
    <n v="5"/>
    <n v="1"/>
    <n v="3"/>
    <n v="55000"/>
    <n v="2"/>
    <s v="Administrative Assistant"/>
    <x v="0"/>
    <n v="1844"/>
    <d v="1987-04-06T00:00:00"/>
    <n v="39"/>
    <s v="F"/>
    <s v="Married"/>
    <d v="2011-09-26T00:00:00"/>
    <x v="65"/>
    <s v="Admin Offices"/>
    <s v="Brandon R. LeBlanc"/>
    <n v="1"/>
    <s v="Diversity Job Fair"/>
    <n v="4"/>
    <n v="0"/>
    <n v="17"/>
  </r>
  <r>
    <s v="Smith, Sade"/>
    <n v="10157"/>
    <s v="Male"/>
    <n v="1"/>
    <n v="5"/>
    <n v="3"/>
    <n v="58939"/>
    <n v="19"/>
    <s v="Production Technician I"/>
    <x v="0"/>
    <n v="2130"/>
    <d v="1965-02-02T00:00:00"/>
    <n v="61"/>
    <s v="F"/>
    <s v="Single"/>
    <d v="2013-11-11T00:00:00"/>
    <x v="23"/>
    <s v="Production       "/>
    <s v="Ketsia Liebig"/>
    <n v="19"/>
    <s v="Employee Referral"/>
    <n v="0"/>
    <n v="0"/>
    <n v="16"/>
  </r>
  <r>
    <s v="Soto, Julia "/>
    <n v="10119"/>
    <s v="Male"/>
    <n v="1"/>
    <n v="3"/>
    <n v="3"/>
    <n v="66593"/>
    <n v="14"/>
    <s v="IT Support"/>
    <x v="0"/>
    <n v="2360"/>
    <d v="1973-12-03T00:00:00"/>
    <n v="52"/>
    <s v="F"/>
    <s v="Married"/>
    <d v="2011-10-06T00:00:00"/>
    <x v="90"/>
    <s v="IT/IS"/>
    <s v="Eric Dougall"/>
    <n v="6"/>
    <s v="LinkedIn"/>
    <n v="5"/>
    <n v="0"/>
    <n v="19"/>
  </r>
  <r>
    <s v="Soze, Keyser"/>
    <n v="10180"/>
    <s v="Female"/>
    <n v="2"/>
    <n v="3"/>
    <n v="3"/>
    <n v="87565"/>
    <n v="28"/>
    <s v="Sr. Network Engineer"/>
    <x v="0"/>
    <n v="1545"/>
    <d v="1983-09-02T00:00:00"/>
    <n v="42"/>
    <s v="M "/>
    <s v="Married"/>
    <d v="2016-06-30T00:00:00"/>
    <x v="28"/>
    <s v="IT/IS"/>
    <s v="Peter Monroe"/>
    <n v="7"/>
    <s v="LinkedIn"/>
    <n v="5"/>
    <n v="0"/>
    <n v="13"/>
  </r>
  <r>
    <s v="Sparks, Taylor  "/>
    <n v="10302"/>
    <s v="Male"/>
    <n v="1"/>
    <n v="5"/>
    <n v="1"/>
    <n v="64021"/>
    <n v="19"/>
    <s v="Production Technician I"/>
    <x v="0"/>
    <n v="2093"/>
    <d v="1968-02-07T00:00:00"/>
    <n v="58"/>
    <s v="F"/>
    <s v="Married"/>
    <d v="2012-02-20T00:00:00"/>
    <x v="11"/>
    <s v="Production       "/>
    <s v="Brannon Miller"/>
    <n v="12"/>
    <s v="Indeed"/>
    <n v="1"/>
    <n v="6"/>
    <n v="20"/>
  </r>
  <r>
    <s v="Spirea, Kelley"/>
    <n v="10090"/>
    <s v="Male"/>
    <n v="1"/>
    <n v="5"/>
    <n v="3"/>
    <n v="65714"/>
    <n v="18"/>
    <s v="Production Manager"/>
    <x v="0"/>
    <n v="2451"/>
    <d v="1975-03-09T00:00:00"/>
    <n v="51"/>
    <s v="F"/>
    <s v="Married"/>
    <d v="2012-02-10T00:00:00"/>
    <x v="91"/>
    <s v="Production       "/>
    <s v="Janet King"/>
    <n v="2"/>
    <s v="LinkedIn"/>
    <n v="0"/>
    <n v="0"/>
    <n v="15"/>
  </r>
  <r>
    <s v="Squatrito, Kristen"/>
    <n v="10030"/>
    <s v="Male"/>
    <n v="5"/>
    <n v="5"/>
    <n v="4"/>
    <n v="62425"/>
    <n v="19"/>
    <s v="Production Technician I"/>
    <x v="0"/>
    <n v="2359"/>
    <d v="1973-06-03T00:00:00"/>
    <n v="52"/>
    <s v="F"/>
    <s v="Divorced"/>
    <d v="2013-05-13T00:00:00"/>
    <x v="76"/>
    <s v="Production       "/>
    <s v="David Stanley"/>
    <n v="14"/>
    <s v="LinkedIn"/>
    <n v="0"/>
    <n v="0"/>
    <n v="16"/>
  </r>
  <r>
    <s v="Stanford,Barbara  M"/>
    <n v="10278"/>
    <s v="Male"/>
    <n v="1"/>
    <n v="5"/>
    <n v="3"/>
    <n v="47961"/>
    <n v="19"/>
    <s v="Production Technician I"/>
    <x v="0"/>
    <n v="2050"/>
    <d v="1982-05-08T00:00:00"/>
    <n v="43"/>
    <s v="F"/>
    <s v="Divorced"/>
    <d v="2011-10-01T00:00:00"/>
    <x v="9"/>
    <s v="Production       "/>
    <s v="Kissy Sullivan"/>
    <n v="20"/>
    <s v="Google Search"/>
    <n v="0"/>
    <n v="0"/>
    <n v="9"/>
  </r>
  <r>
    <s v="Stansfield, Norman"/>
    <n v="10307"/>
    <s v="Female"/>
    <n v="1"/>
    <n v="6"/>
    <n v="1"/>
    <n v="58273"/>
    <n v="3"/>
    <s v="Area Sales Manager"/>
    <x v="22"/>
    <n v="89139"/>
    <d v="1974-09-05T00:00:00"/>
    <n v="51"/>
    <s v="M "/>
    <s v="Married"/>
    <d v="2014-12-05T00:00:00"/>
    <x v="31"/>
    <s v="Sales"/>
    <s v="Lynn Daneault"/>
    <n v="21"/>
    <s v="Website"/>
    <n v="0"/>
    <n v="3"/>
    <n v="5"/>
  </r>
  <r>
    <s v="Steans, Tyrone  "/>
    <n v="10147"/>
    <s v="Female"/>
    <n v="1"/>
    <n v="1"/>
    <n v="3"/>
    <n v="63003"/>
    <n v="1"/>
    <s v="Accountant I"/>
    <x v="0"/>
    <n v="2703"/>
    <d v="1986-01-09T00:00:00"/>
    <n v="40"/>
    <s v="M "/>
    <s v="Single"/>
    <d v="2014-09-29T00:00:00"/>
    <x v="22"/>
    <s v="Admin Offices"/>
    <s v="Brandon R. LeBlanc"/>
    <n v="1"/>
    <s v="Indeed"/>
    <n v="5"/>
    <n v="0"/>
    <n v="9"/>
  </r>
  <r>
    <s v="Stoica, Rick"/>
    <n v="10266"/>
    <s v="Female"/>
    <n v="1"/>
    <n v="5"/>
    <n v="3"/>
    <n v="61355"/>
    <n v="19"/>
    <s v="Production Technician I"/>
    <x v="0"/>
    <n v="2301"/>
    <d v="1985-04-03T00:00:00"/>
    <n v="41"/>
    <s v="M "/>
    <s v="Married"/>
    <d v="2014-02-17T00:00:00"/>
    <x v="19"/>
    <s v="Production       "/>
    <s v="Kelley Spirea"/>
    <n v="18"/>
    <s v="LinkedIn"/>
    <n v="0"/>
    <n v="0"/>
    <n v="4"/>
  </r>
  <r>
    <s v="Strong, Caitrin"/>
    <n v="10241"/>
    <s v="Male"/>
    <n v="1"/>
    <n v="6"/>
    <n v="3"/>
    <n v="60120"/>
    <n v="3"/>
    <s v="Area Sales Manager"/>
    <x v="23"/>
    <n v="59102"/>
    <d v="1989-02-05T00:00:00"/>
    <n v="37"/>
    <s v="F"/>
    <s v="Married"/>
    <d v="2010-09-27T00:00:00"/>
    <x v="92"/>
    <s v="Sales"/>
    <s v="John Smith"/>
    <n v="17"/>
    <s v="Indeed"/>
    <n v="0"/>
    <n v="0"/>
    <n v="18"/>
  </r>
  <r>
    <s v="Sullivan, Kissy "/>
    <n v="10158"/>
    <s v="Male"/>
    <n v="1"/>
    <n v="5"/>
    <n v="3"/>
    <n v="63682"/>
    <n v="18"/>
    <s v="Production Manager"/>
    <x v="0"/>
    <n v="1776"/>
    <d v="1978-08-03T00:00:00"/>
    <n v="47"/>
    <s v="F"/>
    <s v="Married"/>
    <d v="2009-08-01T00:00:00"/>
    <x v="93"/>
    <s v="Production       "/>
    <s v="Janet King"/>
    <n v="2"/>
    <s v="Indeed"/>
    <n v="0"/>
    <n v="0"/>
    <n v="12"/>
  </r>
  <r>
    <s v="Sullivan, Timothy"/>
    <n v="10117"/>
    <s v="Female"/>
    <n v="1"/>
    <n v="5"/>
    <n v="3"/>
    <n v="63025"/>
    <n v="19"/>
    <s v="Production Technician I"/>
    <x v="0"/>
    <n v="2747"/>
    <d v="1982-07-10T00:00:00"/>
    <n v="43"/>
    <s v="M "/>
    <s v="Married"/>
    <d v="2015-05-01T00:00:00"/>
    <x v="8"/>
    <s v="Production       "/>
    <s v="Michael Albert"/>
    <n v="22"/>
    <s v="Google Search"/>
    <n v="0"/>
    <n v="0"/>
    <n v="10"/>
  </r>
  <r>
    <s v="Sutwell, Barbara"/>
    <n v="10209"/>
    <s v="Male"/>
    <n v="1"/>
    <n v="5"/>
    <n v="3"/>
    <n v="59238"/>
    <n v="19"/>
    <s v="Production Technician I"/>
    <x v="0"/>
    <n v="2718"/>
    <d v="1968-05-08T00:00:00"/>
    <n v="57"/>
    <s v="F"/>
    <s v="Single"/>
    <d v="2012-05-14T00:00:00"/>
    <x v="32"/>
    <s v="Production       "/>
    <s v="Elijiah Gray"/>
    <n v="16"/>
    <s v="Indeed"/>
    <n v="0"/>
    <n v="0"/>
    <n v="13"/>
  </r>
  <r>
    <s v="Szabo, Andrew"/>
    <n v="10024"/>
    <s v="Female"/>
    <n v="1"/>
    <n v="4"/>
    <n v="4"/>
    <n v="92989"/>
    <n v="24"/>
    <s v="Software Engineer"/>
    <x v="0"/>
    <n v="2140"/>
    <d v="1983-06-05T00:00:00"/>
    <n v="42"/>
    <s v="M "/>
    <s v="Single"/>
    <d v="2014-07-07T00:00:00"/>
    <x v="16"/>
    <s v="Software Engineering"/>
    <s v="Alex Sweetwater"/>
    <n v="10"/>
    <s v="LinkedIn"/>
    <n v="5"/>
    <n v="0"/>
    <n v="1"/>
  </r>
  <r>
    <s v="Tannen, Biff"/>
    <n v="10173"/>
    <s v="Female"/>
    <n v="1"/>
    <n v="3"/>
    <n v="3"/>
    <n v="90100"/>
    <n v="4"/>
    <s v="BI Developer"/>
    <x v="0"/>
    <n v="2134"/>
    <d v="1987-04-10T00:00:00"/>
    <n v="38"/>
    <s v="M "/>
    <s v="Married"/>
    <d v="2017-04-20T00:00:00"/>
    <x v="57"/>
    <s v="IT/IS"/>
    <s v="Brian Champaigne"/>
    <n v="13"/>
    <s v="Indeed"/>
    <n v="6"/>
    <n v="0"/>
    <n v="14"/>
  </r>
  <r>
    <s v="Tavares, Desiree  "/>
    <n v="10221"/>
    <s v="Male"/>
    <n v="5"/>
    <n v="5"/>
    <n v="3"/>
    <n v="60754"/>
    <n v="19"/>
    <s v="Production Technician I"/>
    <x v="0"/>
    <n v="1801"/>
    <d v="1975-03-04T00:00:00"/>
    <n v="51"/>
    <s v="F"/>
    <s v="Married"/>
    <d v="2009-04-27T00:00:00"/>
    <x v="94"/>
    <s v="Production       "/>
    <s v="Webster Butler"/>
    <n v="39"/>
    <s v="Diversity Job Fair"/>
    <n v="0"/>
    <n v="0"/>
    <n v="11"/>
  </r>
  <r>
    <s v="Tejeda, Lenora "/>
    <n v="10146"/>
    <s v="Male"/>
    <n v="5"/>
    <n v="5"/>
    <n v="3"/>
    <n v="72202"/>
    <n v="20"/>
    <s v="Production Technician II"/>
    <x v="0"/>
    <n v="2129"/>
    <d v="1953-04-05T00:00:00"/>
    <n v="73"/>
    <s v="F"/>
    <s v="Married"/>
    <d v="2011-05-16T00:00:00"/>
    <x v="36"/>
    <s v="Production       "/>
    <s v="Elijiah Gray"/>
    <n v="16"/>
    <s v="Google Search"/>
    <n v="0"/>
    <n v="0"/>
    <n v="3"/>
  </r>
  <r>
    <s v="Terry, Sharlene "/>
    <n v="10161"/>
    <s v="Male"/>
    <n v="1"/>
    <n v="6"/>
    <n v="3"/>
    <n v="58370"/>
    <n v="3"/>
    <s v="Area Sales Manager"/>
    <x v="24"/>
    <n v="97756"/>
    <d v="1965-07-05T00:00:00"/>
    <n v="60"/>
    <s v="F"/>
    <s v="Single"/>
    <d v="2014-09-29T00:00:00"/>
    <x v="22"/>
    <s v="Sales"/>
    <s v="Lynn Daneault"/>
    <n v="21"/>
    <s v="Indeed"/>
    <n v="0"/>
    <n v="0"/>
    <n v="18"/>
  </r>
  <r>
    <s v="Theamstern, Sophia"/>
    <n v="10141"/>
    <s v="Male"/>
    <n v="5"/>
    <n v="5"/>
    <n v="3"/>
    <n v="48413"/>
    <n v="19"/>
    <s v="Production Technician I"/>
    <x v="0"/>
    <n v="2066"/>
    <d v="1965-09-05T00:00:00"/>
    <n v="60"/>
    <s v="F"/>
    <s v="Single"/>
    <d v="2011-05-07T00:00:00"/>
    <x v="0"/>
    <s v="Production       "/>
    <s v="Amy Dunn"/>
    <n v="11"/>
    <s v="Indeed"/>
    <n v="0"/>
    <n v="0"/>
    <n v="1"/>
  </r>
  <r>
    <s v="Thibaud, Kenneth"/>
    <n v="10268"/>
    <s v="Female"/>
    <n v="5"/>
    <n v="5"/>
    <n v="3"/>
    <n v="67176"/>
    <n v="20"/>
    <s v="Production Technician II"/>
    <x v="0"/>
    <n v="2472"/>
    <d v="1975-06-09T00:00:00"/>
    <n v="50"/>
    <s v="M "/>
    <s v="Widowed"/>
    <d v="2007-06-25T00:00:00"/>
    <x v="95"/>
    <s v="Production       "/>
    <s v="Webster Butler"/>
    <n v="39"/>
    <s v="Other"/>
    <n v="0"/>
    <n v="0"/>
    <n v="15"/>
  </r>
  <r>
    <s v="Tippett, Jeanette"/>
    <n v="10123"/>
    <s v="Male"/>
    <n v="1"/>
    <n v="5"/>
    <n v="3"/>
    <n v="56339"/>
    <n v="19"/>
    <s v="Production Technician I"/>
    <x v="0"/>
    <n v="2093"/>
    <d v="1967-05-06T00:00:00"/>
    <n v="58"/>
    <s v="F"/>
    <s v="Divorced"/>
    <d v="2013-02-18T00:00:00"/>
    <x v="96"/>
    <s v="Production       "/>
    <s v="Brannon Miller"/>
    <n v="12"/>
    <s v="Indeed"/>
    <n v="0"/>
    <n v="0"/>
    <n v="4"/>
  </r>
  <r>
    <s v="Torrence, Jack"/>
    <n v="10013"/>
    <s v="Female"/>
    <n v="1"/>
    <n v="6"/>
    <n v="4"/>
    <n v="64397"/>
    <n v="3"/>
    <s v="Area Sales Manager"/>
    <x v="25"/>
    <n v="58782"/>
    <d v="1968-05-01T00:00:00"/>
    <n v="57"/>
    <s v="M "/>
    <s v="Separated"/>
    <d v="2006-09-01T00:00:00"/>
    <x v="97"/>
    <s v="Sales"/>
    <s v="Lynn Daneault"/>
    <n v="21"/>
    <s v="Indeed"/>
    <n v="0"/>
    <n v="0"/>
    <n v="6"/>
  </r>
  <r>
    <s v="Trang, Mei"/>
    <n v="10287"/>
    <s v="Male"/>
    <n v="1"/>
    <n v="5"/>
    <n v="2"/>
    <n v="63025"/>
    <n v="19"/>
    <s v="Production Technician I"/>
    <x v="0"/>
    <n v="2021"/>
    <d v="1983-06-05T00:00:00"/>
    <n v="42"/>
    <s v="F"/>
    <s v="Single"/>
    <d v="2014-02-17T00:00:00"/>
    <x v="19"/>
    <s v="Production       "/>
    <s v="David Stanley"/>
    <n v="14"/>
    <s v="LinkedIn"/>
    <n v="0"/>
    <n v="4"/>
    <n v="18"/>
  </r>
  <r>
    <s v="Tredinnick, Neville "/>
    <n v="10044"/>
    <s v="Female"/>
    <n v="5"/>
    <n v="3"/>
    <n v="3"/>
    <n v="75281"/>
    <n v="15"/>
    <s v="Network Engineer"/>
    <x v="0"/>
    <n v="1420"/>
    <d v="1988-05-05T00:00:00"/>
    <n v="37"/>
    <s v="M "/>
    <s v="Married"/>
    <d v="2015-05-01T00:00:00"/>
    <x v="8"/>
    <s v="IT/IS"/>
    <s v="Peter Monroe"/>
    <n v="7"/>
    <s v="CareerBuilder"/>
    <n v="5"/>
    <n v="0"/>
    <n v="11"/>
  </r>
  <r>
    <s v="True, Edward"/>
    <n v="10102"/>
    <s v="Female"/>
    <n v="5"/>
    <n v="4"/>
    <n v="3"/>
    <n v="100416"/>
    <n v="24"/>
    <s v="Software Engineer"/>
    <x v="0"/>
    <n v="2451"/>
    <d v="1983-04-06T00:00:00"/>
    <n v="43"/>
    <s v="M "/>
    <s v="Single"/>
    <d v="2013-02-18T00:00:00"/>
    <x v="96"/>
    <s v="Software Engineering"/>
    <s v="Alex Sweetwater"/>
    <n v="10"/>
    <s v="Diversity Job Fair"/>
    <n v="4"/>
    <n v="0"/>
    <n v="9"/>
  </r>
  <r>
    <s v="Trzeciak, Cybil"/>
    <n v="10270"/>
    <s v="Male"/>
    <n v="5"/>
    <n v="5"/>
    <n v="3"/>
    <n v="74813"/>
    <n v="20"/>
    <s v="Production Technician II"/>
    <x v="0"/>
    <n v="1778"/>
    <d v="1985-05-03T00:00:00"/>
    <n v="40"/>
    <s v="F"/>
    <s v="Single"/>
    <d v="2011-10-01T00:00:00"/>
    <x v="9"/>
    <s v="Production       "/>
    <s v="Amy Dunn"/>
    <n v="11"/>
    <s v="LinkedIn"/>
    <n v="0"/>
    <n v="0"/>
    <n v="5"/>
  </r>
  <r>
    <s v="Turpin, Jumil"/>
    <n v="10045"/>
    <s v="Female"/>
    <n v="1"/>
    <n v="3"/>
    <n v="3"/>
    <n v="76029"/>
    <n v="15"/>
    <s v="Network Engineer"/>
    <x v="0"/>
    <n v="2343"/>
    <d v="1969-03-03T00:00:00"/>
    <n v="57"/>
    <s v="M "/>
    <s v="Married"/>
    <d v="2015-03-30T00:00:00"/>
    <x v="1"/>
    <s v="IT/IS"/>
    <s v="Peter Monroe"/>
    <n v="7"/>
    <s v="Employee Referral"/>
    <n v="7"/>
    <n v="0"/>
    <n v="8"/>
  </r>
  <r>
    <s v="Valentin,Jackie"/>
    <n v="10205"/>
    <s v="Male"/>
    <n v="1"/>
    <n v="6"/>
    <n v="3"/>
    <n v="57859"/>
    <n v="3"/>
    <s v="Area Sales Manager"/>
    <x v="26"/>
    <n v="85006"/>
    <d v="1991-03-05T00:00:00"/>
    <n v="35"/>
    <s v="F"/>
    <s v="Married"/>
    <d v="2011-05-07T00:00:00"/>
    <x v="0"/>
    <s v="Sales"/>
    <s v="John Smith"/>
    <n v="17"/>
    <s v="Indeed"/>
    <n v="0"/>
    <n v="0"/>
    <n v="16"/>
  </r>
  <r>
    <s v="Veera, Abdellah "/>
    <n v="10014"/>
    <s v="Female"/>
    <n v="5"/>
    <n v="5"/>
    <n v="4"/>
    <n v="58523"/>
    <n v="19"/>
    <s v="Production Technician I"/>
    <x v="0"/>
    <n v="2171"/>
    <d v="1987-03-01T00:00:00"/>
    <n v="39"/>
    <s v="M "/>
    <s v="Divorced"/>
    <d v="2012-08-13T00:00:00"/>
    <x v="60"/>
    <s v="Production       "/>
    <s v="Kissy Sullivan"/>
    <n v="20"/>
    <s v="LinkedIn"/>
    <n v="0"/>
    <n v="0"/>
    <n v="15"/>
  </r>
  <r>
    <s v="Vega, Vincent"/>
    <n v="10144"/>
    <s v="Female"/>
    <n v="1"/>
    <n v="5"/>
    <n v="3"/>
    <n v="88976"/>
    <n v="17"/>
    <s v="Production Manager"/>
    <x v="0"/>
    <n v="2169"/>
    <d v="1968-10-10T00:00:00"/>
    <n v="57"/>
    <s v="M "/>
    <s v="Divorced"/>
    <d v="2011-01-08T00:00:00"/>
    <x v="98"/>
    <s v="Production       "/>
    <s v="Janet King"/>
    <n v="2"/>
    <s v="Employee Referral"/>
    <n v="0"/>
    <n v="0"/>
    <n v="19"/>
  </r>
  <r>
    <s v="Villanueva, Noah"/>
    <n v="10253"/>
    <s v="Female"/>
    <n v="1"/>
    <n v="6"/>
    <n v="3"/>
    <n v="55875"/>
    <n v="3"/>
    <s v="Area Sales Manager"/>
    <x v="27"/>
    <n v="4063"/>
    <d v="1989-11-07T00:00:00"/>
    <n v="36"/>
    <s v="M "/>
    <s v="Single"/>
    <d v="2012-05-03T00:00:00"/>
    <x v="25"/>
    <s v="Sales"/>
    <s v="John Smith"/>
    <n v="17"/>
    <s v="Website"/>
    <n v="0"/>
    <n v="0"/>
    <n v="11"/>
  </r>
  <r>
    <s v="Voldemort, Lord"/>
    <n v="10118"/>
    <s v="Female"/>
    <n v="4"/>
    <n v="3"/>
    <n v="3"/>
    <n v="113999"/>
    <n v="8"/>
    <s v="Database Administrator"/>
    <x v="0"/>
    <n v="1960"/>
    <d v="1986-07-08T00:00:00"/>
    <n v="39"/>
    <s v="M "/>
    <s v="Married"/>
    <d v="2015-02-16T00:00:00"/>
    <x v="20"/>
    <s v="IT/IS"/>
    <s v="Simon Roup"/>
    <n v="4"/>
    <s v="Employee Referral"/>
    <n v="7"/>
    <n v="0"/>
    <n v="9"/>
  </r>
  <r>
    <s v="Volk, Colleen"/>
    <n v="10022"/>
    <s v="Male"/>
    <n v="4"/>
    <n v="5"/>
    <n v="4"/>
    <n v="49773"/>
    <n v="19"/>
    <s v="Production Technician I"/>
    <x v="0"/>
    <n v="2747"/>
    <d v="1986-03-06T00:00:00"/>
    <n v="40"/>
    <s v="F"/>
    <s v="Married"/>
    <d v="2011-09-26T00:00:00"/>
    <x v="65"/>
    <s v="Production       "/>
    <s v="Kelley Spirea"/>
    <n v="18"/>
    <s v="Google Search"/>
    <n v="0"/>
    <n v="0"/>
    <n v="18"/>
  </r>
  <r>
    <s v="Von Massenbach, Anna"/>
    <n v="10183"/>
    <s v="Male"/>
    <n v="2"/>
    <n v="5"/>
    <n v="3"/>
    <n v="62068"/>
    <n v="19"/>
    <s v="Production Technician I"/>
    <x v="0"/>
    <n v="2124"/>
    <d v="1985-06-04T00:00:00"/>
    <n v="40"/>
    <s v="F"/>
    <s v="Single"/>
    <d v="2015-05-07T00:00:00"/>
    <x v="99"/>
    <s v="Production       "/>
    <s v="Michael Albert"/>
    <n v="22"/>
    <s v="LinkedIn"/>
    <n v="0"/>
    <n v="0"/>
    <n v="7"/>
  </r>
  <r>
    <s v="Walker, Roger"/>
    <n v="10190"/>
    <s v="Female"/>
    <n v="1"/>
    <n v="5"/>
    <n v="3"/>
    <n v="66541"/>
    <n v="20"/>
    <s v="Production Technician II"/>
    <x v="0"/>
    <n v="2459"/>
    <d v="1976-10-02T00:00:00"/>
    <n v="49"/>
    <s v="M "/>
    <s v="Single"/>
    <d v="2014-08-18T00:00:00"/>
    <x v="29"/>
    <s v="Production       "/>
    <s v="Ketsia Liebig"/>
    <n v="19"/>
    <s v="Employee Referral"/>
    <n v="0"/>
    <n v="0"/>
    <n v="4"/>
  </r>
  <r>
    <s v="Wallace, Courtney  E"/>
    <n v="10274"/>
    <s v="Male"/>
    <n v="5"/>
    <n v="5"/>
    <n v="3"/>
    <n v="80512"/>
    <n v="18"/>
    <s v="Production Manager"/>
    <x v="0"/>
    <n v="2478"/>
    <d v="1955-04-11T00:00:00"/>
    <n v="70"/>
    <s v="F"/>
    <s v="Married"/>
    <d v="2011-09-26T00:00:00"/>
    <x v="65"/>
    <s v="Production       "/>
    <s v="Janet King"/>
    <n v="2"/>
    <s v="Diversity Job Fair"/>
    <n v="0"/>
    <n v="0"/>
    <n v="5"/>
  </r>
  <r>
    <s v="Wallace, Theresa"/>
    <n v="10293"/>
    <s v="Male"/>
    <n v="5"/>
    <n v="5"/>
    <n v="2"/>
    <n v="50274"/>
    <n v="19"/>
    <s v="Production Technician I"/>
    <x v="0"/>
    <n v="1887"/>
    <d v="1980-02-08T00:00:00"/>
    <n v="46"/>
    <s v="F"/>
    <s v="Single"/>
    <d v="2012-08-13T00:00:00"/>
    <x v="60"/>
    <s v="Production       "/>
    <s v="Elijiah Gray"/>
    <n v="16"/>
    <s v="CareerBuilder"/>
    <n v="0"/>
    <n v="6"/>
    <n v="13"/>
  </r>
  <r>
    <s v="Wang, Charlie"/>
    <n v="10172"/>
    <s v="Female"/>
    <n v="1"/>
    <n v="3"/>
    <n v="3"/>
    <n v="84903"/>
    <n v="22"/>
    <s v="Senior BI Developer"/>
    <x v="0"/>
    <n v="1887"/>
    <d v="1981-08-07T00:00:00"/>
    <n v="44"/>
    <s v="M "/>
    <s v="Single"/>
    <d v="2017-02-15T00:00:00"/>
    <x v="45"/>
    <s v="IT/IS"/>
    <s v="Brian Champaigne"/>
    <n v="13"/>
    <s v="Indeed"/>
    <n v="7"/>
    <n v="0"/>
    <n v="17"/>
  </r>
  <r>
    <s v="Warfield, Sarah"/>
    <n v="10127"/>
    <s v="Male"/>
    <n v="1"/>
    <n v="3"/>
    <n v="3"/>
    <n v="107226"/>
    <n v="28"/>
    <s v="Sr. Network Engineer"/>
    <x v="0"/>
    <n v="2453"/>
    <d v="1978-02-05T00:00:00"/>
    <n v="48"/>
    <s v="F"/>
    <s v="Widowed"/>
    <d v="2015-03-30T00:00:00"/>
    <x v="1"/>
    <s v="IT/IS"/>
    <s v="Peter Monroe"/>
    <n v="7"/>
    <s v="Employee Referral"/>
    <n v="8"/>
    <n v="0"/>
    <n v="7"/>
  </r>
  <r>
    <s v="Whittier, Scott"/>
    <n v="10072"/>
    <s v="Female"/>
    <n v="5"/>
    <n v="5"/>
    <n v="3"/>
    <n v="58371"/>
    <n v="19"/>
    <s v="Production Technician I"/>
    <x v="0"/>
    <n v="2030"/>
    <d v="1987-04-05T00:00:00"/>
    <n v="39"/>
    <s v="M "/>
    <s v="Single"/>
    <d v="2011-10-01T00:00:00"/>
    <x v="9"/>
    <s v="Production       "/>
    <s v="Webster Butler"/>
    <n v="39"/>
    <s v="LinkedIn"/>
    <n v="0"/>
    <n v="0"/>
    <n v="11"/>
  </r>
  <r>
    <s v="Wilber, Barry"/>
    <n v="10048"/>
    <s v="Female"/>
    <n v="5"/>
    <n v="5"/>
    <n v="3"/>
    <n v="55140"/>
    <n v="19"/>
    <s v="Production Technician I"/>
    <x v="0"/>
    <n v="2324"/>
    <d v="1965-09-09T00:00:00"/>
    <n v="60"/>
    <s v="M "/>
    <s v="Married"/>
    <d v="2011-05-16T00:00:00"/>
    <x v="36"/>
    <s v="Production       "/>
    <s v="Amy Dunn"/>
    <n v="11"/>
    <s v="Website"/>
    <n v="0"/>
    <n v="0"/>
    <n v="7"/>
  </r>
  <r>
    <s v="Wilkes, Annie"/>
    <n v="10204"/>
    <s v="Male"/>
    <n v="5"/>
    <n v="5"/>
    <n v="3"/>
    <n v="58062"/>
    <n v="19"/>
    <s v="Production Technician I"/>
    <x v="0"/>
    <n v="1876"/>
    <d v="1983-03-07T00:00:00"/>
    <n v="43"/>
    <s v="F"/>
    <s v="Divorced"/>
    <d v="2011-10-01T00:00:00"/>
    <x v="9"/>
    <s v="Production       "/>
    <s v="Ketsia Liebig"/>
    <n v="19"/>
    <s v="Google Search"/>
    <n v="0"/>
    <n v="0"/>
    <n v="9"/>
  </r>
  <r>
    <s v="Williams, Jacquelyn  "/>
    <n v="10264"/>
    <s v="Male"/>
    <n v="5"/>
    <n v="5"/>
    <n v="3"/>
    <n v="59728"/>
    <n v="19"/>
    <s v="Production Technician I"/>
    <x v="0"/>
    <n v="2109"/>
    <d v="1969-02-10T00:00:00"/>
    <n v="57"/>
    <s v="F"/>
    <s v="Single"/>
    <d v="2012-09-01T00:00:00"/>
    <x v="4"/>
    <s v="Production       "/>
    <s v="Ketsia Liebig"/>
    <n v="19"/>
    <s v="Diversity Job Fair"/>
    <n v="0"/>
    <n v="0"/>
    <n v="16"/>
  </r>
  <r>
    <s v="Winthrop, Jordan  "/>
    <n v="10033"/>
    <s v="Female"/>
    <n v="5"/>
    <n v="5"/>
    <n v="4"/>
    <n v="70507"/>
    <n v="20"/>
    <s v="Production Technician II"/>
    <x v="0"/>
    <n v="2045"/>
    <d v="1958-07-11T00:00:00"/>
    <n v="67"/>
    <s v="M "/>
    <s v="Single"/>
    <d v="2013-07-01T00:00:00"/>
    <x v="46"/>
    <s v="Production       "/>
    <s v="Brannon Miller"/>
    <n v="12"/>
    <s v="LinkedIn"/>
    <n v="0"/>
    <n v="0"/>
    <n v="7"/>
  </r>
  <r>
    <s v="Wolk, Hang  T"/>
    <n v="10174"/>
    <s v="Male"/>
    <n v="1"/>
    <n v="5"/>
    <n v="3"/>
    <n v="60446"/>
    <n v="20"/>
    <s v="Production Technician II"/>
    <x v="0"/>
    <n v="2302"/>
    <d v="1985-02-04T00:00:00"/>
    <n v="41"/>
    <s v="F"/>
    <s v="Single"/>
    <d v="2014-09-29T00:00:00"/>
    <x v="22"/>
    <s v="Production       "/>
    <s v="David Stanley"/>
    <n v="14"/>
    <s v="LinkedIn"/>
    <n v="0"/>
    <n v="0"/>
    <n v="14"/>
  </r>
  <r>
    <s v="Woodson, Jason"/>
    <n v="10135"/>
    <s v="Female"/>
    <n v="1"/>
    <n v="5"/>
    <n v="3"/>
    <n v="65893"/>
    <n v="20"/>
    <s v="Production Technician II"/>
    <x v="0"/>
    <n v="1810"/>
    <d v="1985-11-05T00:00:00"/>
    <n v="40"/>
    <s v="M "/>
    <s v="Single"/>
    <d v="2014-07-07T00:00:00"/>
    <x v="16"/>
    <s v="Production       "/>
    <s v="Kissy Sullivan"/>
    <n v="20"/>
    <s v="LinkedIn"/>
    <n v="0"/>
    <n v="0"/>
    <n v="13"/>
  </r>
  <r>
    <s v="Ybarra, Catherine "/>
    <n v="10301"/>
    <s v="Male"/>
    <n v="5"/>
    <n v="5"/>
    <n v="1"/>
    <n v="48513"/>
    <n v="19"/>
    <s v="Production Technician I"/>
    <x v="0"/>
    <n v="2458"/>
    <d v="1982-04-05T00:00:00"/>
    <n v="44"/>
    <s v="F"/>
    <s v="Single"/>
    <d v="2008-02-09T00:00:00"/>
    <x v="100"/>
    <s v="Production       "/>
    <s v="Brannon Miller"/>
    <n v="12"/>
    <s v="Google Search"/>
    <n v="0"/>
    <n v="5"/>
    <n v="4"/>
  </r>
  <r>
    <s v="Zamora, Jennifer"/>
    <n v="10010"/>
    <s v="Male"/>
    <n v="1"/>
    <n v="3"/>
    <n v="4"/>
    <n v="220450"/>
    <n v="6"/>
    <s v="CIO"/>
    <x v="0"/>
    <n v="2067"/>
    <d v="1979-03-08T00:00:00"/>
    <n v="47"/>
    <s v="F"/>
    <s v="Single"/>
    <d v="2010-10-04T00:00:00"/>
    <x v="101"/>
    <s v="IT/IS"/>
    <s v="Janet King"/>
    <n v="2"/>
    <s v="Employee Referral"/>
    <n v="6"/>
    <n v="0"/>
    <n v="16"/>
  </r>
  <r>
    <s v="Zhou, Julia"/>
    <n v="10043"/>
    <s v="Male"/>
    <n v="1"/>
    <n v="3"/>
    <n v="3"/>
    <n v="89292"/>
    <n v="9"/>
    <s v="Data Analyst"/>
    <x v="0"/>
    <n v="2148"/>
    <d v="1979-04-02T00:00:00"/>
    <n v="47"/>
    <s v="F"/>
    <s v="Single"/>
    <d v="2015-03-30T00:00:00"/>
    <x v="1"/>
    <s v="IT/IS"/>
    <s v="Simon Roup"/>
    <n v="4"/>
    <s v="Employee Referral"/>
    <n v="5"/>
    <n v="0"/>
    <n v="11"/>
  </r>
  <r>
    <s v="Zima, Colleen"/>
    <n v="10271"/>
    <s v="Male"/>
    <n v="1"/>
    <n v="5"/>
    <n v="3"/>
    <n v="45046"/>
    <n v="19"/>
    <s v="Production Technician I"/>
    <x v="0"/>
    <n v="1730"/>
    <d v="1978-07-08T00:00:00"/>
    <n v="47"/>
    <s v="F"/>
    <s v="Widowed"/>
    <d v="2014-09-29T00:00:00"/>
    <x v="22"/>
    <s v="Production       "/>
    <s v="David Stanley"/>
    <n v="14"/>
    <s v="LinkedIn"/>
    <n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A8B04-9766-46A1-B6EA-F84B439F83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5"/>
        <item x="26"/>
        <item x="7"/>
        <item x="14"/>
        <item x="2"/>
        <item x="18"/>
        <item x="17"/>
        <item x="21"/>
        <item x="9"/>
        <item x="20"/>
        <item x="0"/>
        <item x="27"/>
        <item x="23"/>
        <item x="19"/>
        <item x="25"/>
        <item x="11"/>
        <item x="22"/>
        <item x="15"/>
        <item x="8"/>
        <item x="24"/>
        <item x="13"/>
        <item x="12"/>
        <item x="10"/>
        <item x="1"/>
        <item x="16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94A91-BEA7-44B5-8615-583919A7A1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dataField="1" numFmtId="165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eriod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5BBB-8940-47E8-8336-D3A1EB4CF7D8}">
  <dimension ref="A3:A32"/>
  <sheetViews>
    <sheetView topLeftCell="A8" workbookViewId="0">
      <selection activeCell="A4" sqref="A4:A31"/>
    </sheetView>
  </sheetViews>
  <sheetFormatPr defaultRowHeight="14.4" x14ac:dyDescent="0.3"/>
  <cols>
    <col min="1" max="1" width="12.5546875" bestFit="1" customWidth="1"/>
  </cols>
  <sheetData>
    <row r="3" spans="1:1" x14ac:dyDescent="0.3">
      <c r="A3" s="8" t="s">
        <v>439</v>
      </c>
    </row>
    <row r="4" spans="1:1" x14ac:dyDescent="0.3">
      <c r="A4" s="9" t="s">
        <v>150</v>
      </c>
    </row>
    <row r="5" spans="1:1" x14ac:dyDescent="0.3">
      <c r="A5" s="9" t="s">
        <v>410</v>
      </c>
    </row>
    <row r="6" spans="1:1" x14ac:dyDescent="0.3">
      <c r="A6" s="9" t="s">
        <v>166</v>
      </c>
    </row>
    <row r="7" spans="1:1" x14ac:dyDescent="0.3">
      <c r="A7" s="9" t="s">
        <v>251</v>
      </c>
    </row>
    <row r="8" spans="1:1" x14ac:dyDescent="0.3">
      <c r="A8" s="9" t="s">
        <v>86</v>
      </c>
    </row>
    <row r="9" spans="1:1" x14ac:dyDescent="0.3">
      <c r="A9" s="9" t="s">
        <v>317</v>
      </c>
    </row>
    <row r="10" spans="1:1" x14ac:dyDescent="0.3">
      <c r="A10" s="9" t="s">
        <v>311</v>
      </c>
    </row>
    <row r="11" spans="1:1" x14ac:dyDescent="0.3">
      <c r="A11" s="9" t="s">
        <v>343</v>
      </c>
    </row>
    <row r="12" spans="1:1" x14ac:dyDescent="0.3">
      <c r="A12" s="9" t="s">
        <v>202</v>
      </c>
    </row>
    <row r="13" spans="1:1" x14ac:dyDescent="0.3">
      <c r="A13" s="9" t="s">
        <v>335</v>
      </c>
    </row>
    <row r="14" spans="1:1" x14ac:dyDescent="0.3">
      <c r="A14" s="9" t="s">
        <v>24</v>
      </c>
    </row>
    <row r="15" spans="1:1" x14ac:dyDescent="0.3">
      <c r="A15" s="9" t="s">
        <v>414</v>
      </c>
    </row>
    <row r="16" spans="1:1" x14ac:dyDescent="0.3">
      <c r="A16" s="9" t="s">
        <v>389</v>
      </c>
    </row>
    <row r="17" spans="1:1" x14ac:dyDescent="0.3">
      <c r="A17" s="9" t="s">
        <v>321</v>
      </c>
    </row>
    <row r="18" spans="1:1" x14ac:dyDescent="0.3">
      <c r="A18" s="9" t="s">
        <v>403</v>
      </c>
    </row>
    <row r="19" spans="1:1" x14ac:dyDescent="0.3">
      <c r="A19" s="9" t="s">
        <v>225</v>
      </c>
    </row>
    <row r="20" spans="1:1" x14ac:dyDescent="0.3">
      <c r="A20" s="9" t="s">
        <v>385</v>
      </c>
    </row>
    <row r="21" spans="1:1" x14ac:dyDescent="0.3">
      <c r="A21" s="9" t="s">
        <v>260</v>
      </c>
    </row>
    <row r="22" spans="1:1" x14ac:dyDescent="0.3">
      <c r="A22" s="9" t="s">
        <v>198</v>
      </c>
    </row>
    <row r="23" spans="1:1" x14ac:dyDescent="0.3">
      <c r="A23" s="9" t="s">
        <v>398</v>
      </c>
    </row>
    <row r="24" spans="1:1" x14ac:dyDescent="0.3">
      <c r="A24" s="9" t="s">
        <v>248</v>
      </c>
    </row>
    <row r="25" spans="1:1" x14ac:dyDescent="0.3">
      <c r="A25" s="9" t="s">
        <v>230</v>
      </c>
    </row>
    <row r="26" spans="1:1" x14ac:dyDescent="0.3">
      <c r="A26" s="9" t="s">
        <v>217</v>
      </c>
    </row>
    <row r="27" spans="1:1" x14ac:dyDescent="0.3">
      <c r="A27" s="9" t="s">
        <v>67</v>
      </c>
    </row>
    <row r="28" spans="1:1" x14ac:dyDescent="0.3">
      <c r="A28" s="9" t="s">
        <v>274</v>
      </c>
    </row>
    <row r="29" spans="1:1" x14ac:dyDescent="0.3">
      <c r="A29" s="9" t="s">
        <v>102</v>
      </c>
    </row>
    <row r="30" spans="1:1" x14ac:dyDescent="0.3">
      <c r="A30" s="9" t="s">
        <v>115</v>
      </c>
    </row>
    <row r="31" spans="1:1" x14ac:dyDescent="0.3">
      <c r="A31" s="9" t="s">
        <v>158</v>
      </c>
    </row>
    <row r="32" spans="1:1" x14ac:dyDescent="0.3">
      <c r="A32" s="9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9903-5F8D-4C0E-BFE9-634BF5BA0E33}">
  <dimension ref="A3:B9"/>
  <sheetViews>
    <sheetView workbookViewId="0">
      <selection activeCell="A4" sqref="A4:A8"/>
      <pivotSelection pane="bottomRight" showHeader="1" activeRow="10" click="1" r:id="rId1">
        <pivotArea dataOnly="0" labelOnly="1" fieldPosition="0">
          <references count="1">
            <reference field="16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12.88671875" bestFit="1" customWidth="1"/>
    <col min="3" max="4" width="3.5546875" bestFit="1" customWidth="1"/>
    <col min="5" max="6" width="4.5546875" bestFit="1" customWidth="1"/>
    <col min="7" max="8" width="3.5546875" bestFit="1" customWidth="1"/>
    <col min="9" max="9" width="4.5546875" bestFit="1" customWidth="1"/>
    <col min="10" max="10" width="3.5546875" bestFit="1" customWidth="1"/>
    <col min="11" max="11" width="4.5546875" bestFit="1" customWidth="1"/>
    <col min="12" max="13" width="3.5546875" bestFit="1" customWidth="1"/>
    <col min="14" max="19" width="4.5546875" bestFit="1" customWidth="1"/>
    <col min="20" max="21" width="5.5546875" bestFit="1" customWidth="1"/>
    <col min="22" max="27" width="4.5546875" bestFit="1" customWidth="1"/>
    <col min="28" max="28" width="5.5546875" bestFit="1" customWidth="1"/>
    <col min="29" max="30" width="4.5546875" bestFit="1" customWidth="1"/>
    <col min="31" max="31" width="5.5546875" bestFit="1" customWidth="1"/>
    <col min="32" max="39" width="4.5546875" bestFit="1" customWidth="1"/>
    <col min="40" max="40" width="5.5546875" bestFit="1" customWidth="1"/>
    <col min="41" max="42" width="4.5546875" bestFit="1" customWidth="1"/>
    <col min="43" max="43" width="5.5546875" bestFit="1" customWidth="1"/>
    <col min="44" max="50" width="4.5546875" bestFit="1" customWidth="1"/>
    <col min="51" max="51" width="5.5546875" bestFit="1" customWidth="1"/>
    <col min="52" max="63" width="4.5546875" bestFit="1" customWidth="1"/>
    <col min="64" max="64" width="5.5546875" bestFit="1" customWidth="1"/>
    <col min="65" max="67" width="4.5546875" bestFit="1" customWidth="1"/>
    <col min="68" max="69" width="5.5546875" bestFit="1" customWidth="1"/>
    <col min="70" max="70" width="4.5546875" bestFit="1" customWidth="1"/>
    <col min="71" max="71" width="5.5546875" bestFit="1" customWidth="1"/>
    <col min="72" max="76" width="4.5546875" bestFit="1" customWidth="1"/>
    <col min="77" max="78" width="5.5546875" bestFit="1" customWidth="1"/>
    <col min="79" max="79" width="4.5546875" bestFit="1" customWidth="1"/>
    <col min="80" max="80" width="5.5546875" bestFit="1" customWidth="1"/>
    <col min="81" max="103" width="4.5546875" bestFit="1" customWidth="1"/>
    <col min="104" max="104" width="10.77734375" bestFit="1" customWidth="1"/>
  </cols>
  <sheetData>
    <row r="3" spans="1:2" x14ac:dyDescent="0.3">
      <c r="A3" s="8" t="s">
        <v>439</v>
      </c>
      <c r="B3" t="s">
        <v>472</v>
      </c>
    </row>
    <row r="4" spans="1:2" x14ac:dyDescent="0.3">
      <c r="A4" s="12" t="s">
        <v>473</v>
      </c>
      <c r="B4" s="7">
        <v>7.5917808219178085</v>
      </c>
    </row>
    <row r="5" spans="1:2" x14ac:dyDescent="0.3">
      <c r="A5" s="12" t="s">
        <v>474</v>
      </c>
      <c r="B5" s="7">
        <v>344.70410958904114</v>
      </c>
    </row>
    <row r="6" spans="1:2" x14ac:dyDescent="0.3">
      <c r="A6" s="12" t="s">
        <v>475</v>
      </c>
      <c r="B6" s="7">
        <v>1876.3561643835599</v>
      </c>
    </row>
    <row r="7" spans="1:2" x14ac:dyDescent="0.3">
      <c r="A7" s="12" t="s">
        <v>476</v>
      </c>
      <c r="B7" s="7">
        <v>1741.380821917809</v>
      </c>
    </row>
    <row r="8" spans="1:2" x14ac:dyDescent="0.3">
      <c r="A8" s="12" t="s">
        <v>477</v>
      </c>
      <c r="B8" s="7">
        <v>110.76438356164383</v>
      </c>
    </row>
    <row r="9" spans="1:2" x14ac:dyDescent="0.3">
      <c r="A9" s="12" t="s">
        <v>440</v>
      </c>
      <c r="B9" s="7">
        <v>4080.7972602739715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X311"/>
  <sheetViews>
    <sheetView tabSelected="1" topLeftCell="A186" workbookViewId="0">
      <selection activeCell="C204" sqref="C204"/>
    </sheetView>
  </sheetViews>
  <sheetFormatPr defaultRowHeight="14.4" x14ac:dyDescent="0.3"/>
  <cols>
    <col min="1" max="1" width="21.88671875" bestFit="1" customWidth="1"/>
    <col min="3" max="3" width="11.109375" bestFit="1" customWidth="1"/>
    <col min="4" max="4" width="13.77734375" bestFit="1" customWidth="1"/>
    <col min="5" max="5" width="8.88671875" bestFit="1" customWidth="1"/>
    <col min="6" max="6" width="12.77734375" bestFit="1" customWidth="1"/>
    <col min="7" max="7" width="8.109375" bestFit="1" customWidth="1"/>
    <col min="9" max="9" width="26.77734375" bestFit="1" customWidth="1"/>
    <col min="12" max="12" width="8.44140625" style="3" bestFit="1" customWidth="1"/>
    <col min="13" max="13" width="8.44140625" style="5" customWidth="1"/>
    <col min="16" max="16" width="12.21875" style="3" bestFit="1" customWidth="1"/>
    <col min="17" max="17" width="12.21875" style="7" customWidth="1"/>
    <col min="18" max="18" width="18.6640625" bestFit="1" customWidth="1"/>
    <col min="19" max="19" width="17" bestFit="1" customWidth="1"/>
    <col min="21" max="21" width="21.21875" bestFit="1" customWidth="1"/>
    <col min="22" max="22" width="20.5546875" bestFit="1" customWidth="1"/>
    <col min="23" max="23" width="15.88671875" bestFit="1" customWidth="1"/>
    <col min="24" max="24" width="10.8867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4" t="s">
        <v>437</v>
      </c>
      <c r="N1" s="1" t="s">
        <v>12</v>
      </c>
      <c r="O1" s="1" t="s">
        <v>13</v>
      </c>
      <c r="P1" s="2" t="s">
        <v>14</v>
      </c>
      <c r="Q1" s="6" t="s">
        <v>438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>
        <v>10026</v>
      </c>
      <c r="C2" t="s">
        <v>436</v>
      </c>
      <c r="D2">
        <v>1</v>
      </c>
      <c r="E2">
        <v>5</v>
      </c>
      <c r="F2">
        <v>4</v>
      </c>
      <c r="G2">
        <v>62506</v>
      </c>
      <c r="H2">
        <v>19</v>
      </c>
      <c r="I2" t="s">
        <v>23</v>
      </c>
      <c r="J2" t="s">
        <v>24</v>
      </c>
      <c r="K2">
        <v>1960</v>
      </c>
      <c r="L2" s="3">
        <v>30596</v>
      </c>
      <c r="M2" s="5">
        <f ca="1">DATEDIF(L2,TODAY(),"Y")</f>
        <v>42</v>
      </c>
      <c r="N2" t="s">
        <v>25</v>
      </c>
      <c r="O2" t="s">
        <v>26</v>
      </c>
      <c r="P2" s="3">
        <v>40670</v>
      </c>
      <c r="Q2" s="7">
        <f ca="1">(TODAY()-P2)/365</f>
        <v>14.950684931506849</v>
      </c>
      <c r="R2" t="s">
        <v>27</v>
      </c>
      <c r="S2" t="s">
        <v>28</v>
      </c>
      <c r="T2">
        <v>22</v>
      </c>
      <c r="U2" t="s">
        <v>29</v>
      </c>
      <c r="V2">
        <v>0</v>
      </c>
      <c r="W2">
        <v>0</v>
      </c>
      <c r="X2">
        <v>1</v>
      </c>
    </row>
    <row r="3" spans="1:24" x14ac:dyDescent="0.3">
      <c r="A3" t="s">
        <v>30</v>
      </c>
      <c r="B3">
        <v>10084</v>
      </c>
      <c r="C3" t="s">
        <v>436</v>
      </c>
      <c r="D3">
        <v>5</v>
      </c>
      <c r="E3">
        <v>3</v>
      </c>
      <c r="F3">
        <v>3</v>
      </c>
      <c r="G3">
        <v>104437</v>
      </c>
      <c r="H3">
        <v>27</v>
      </c>
      <c r="I3" t="s">
        <v>31</v>
      </c>
      <c r="J3" t="s">
        <v>24</v>
      </c>
      <c r="K3">
        <v>2148</v>
      </c>
      <c r="L3" s="3">
        <v>27519</v>
      </c>
      <c r="M3" s="5">
        <f t="shared" ref="M3:M66" ca="1" si="0">DATEDIF(L3,TODAY(),"Y")</f>
        <v>50</v>
      </c>
      <c r="N3" t="s">
        <v>25</v>
      </c>
      <c r="O3" t="s">
        <v>32</v>
      </c>
      <c r="P3" s="3">
        <v>42093</v>
      </c>
      <c r="Q3" s="7">
        <f t="shared" ref="Q3:Q66" ca="1" si="1">(TODAY()-P3)/365</f>
        <v>11.052054794520547</v>
      </c>
      <c r="R3" t="s">
        <v>33</v>
      </c>
      <c r="S3" t="s">
        <v>34</v>
      </c>
      <c r="T3">
        <v>4</v>
      </c>
      <c r="U3" t="s">
        <v>35</v>
      </c>
      <c r="V3">
        <v>6</v>
      </c>
      <c r="W3">
        <v>0</v>
      </c>
      <c r="X3">
        <v>17</v>
      </c>
    </row>
    <row r="4" spans="1:24" x14ac:dyDescent="0.3">
      <c r="A4" t="s">
        <v>36</v>
      </c>
      <c r="B4">
        <v>10196</v>
      </c>
      <c r="C4" t="s">
        <v>435</v>
      </c>
      <c r="D4">
        <v>5</v>
      </c>
      <c r="E4">
        <v>5</v>
      </c>
      <c r="F4">
        <v>3</v>
      </c>
      <c r="G4">
        <v>64955</v>
      </c>
      <c r="H4">
        <v>20</v>
      </c>
      <c r="I4" t="s">
        <v>37</v>
      </c>
      <c r="J4" t="s">
        <v>24</v>
      </c>
      <c r="K4">
        <v>1810</v>
      </c>
      <c r="L4" s="3">
        <v>32395</v>
      </c>
      <c r="M4" s="5">
        <f t="shared" ca="1" si="0"/>
        <v>37</v>
      </c>
      <c r="N4" t="s">
        <v>38</v>
      </c>
      <c r="O4" t="s">
        <v>32</v>
      </c>
      <c r="P4" s="3">
        <v>40670</v>
      </c>
      <c r="Q4" s="7">
        <f t="shared" ca="1" si="1"/>
        <v>14.950684931506849</v>
      </c>
      <c r="R4" t="s">
        <v>27</v>
      </c>
      <c r="S4" t="s">
        <v>39</v>
      </c>
      <c r="T4">
        <v>20</v>
      </c>
      <c r="U4" t="s">
        <v>29</v>
      </c>
      <c r="V4">
        <v>0</v>
      </c>
      <c r="W4">
        <v>0</v>
      </c>
      <c r="X4">
        <v>3</v>
      </c>
    </row>
    <row r="5" spans="1:24" x14ac:dyDescent="0.3">
      <c r="A5" t="s">
        <v>40</v>
      </c>
      <c r="B5">
        <v>10088</v>
      </c>
      <c r="C5" t="s">
        <v>435</v>
      </c>
      <c r="D5">
        <v>1</v>
      </c>
      <c r="E5">
        <v>5</v>
      </c>
      <c r="F5">
        <v>3</v>
      </c>
      <c r="G5">
        <v>64991</v>
      </c>
      <c r="H5">
        <v>19</v>
      </c>
      <c r="I5" t="s">
        <v>23</v>
      </c>
      <c r="J5" t="s">
        <v>24</v>
      </c>
      <c r="K5">
        <v>1886</v>
      </c>
      <c r="L5" s="3">
        <v>32333</v>
      </c>
      <c r="M5" s="5">
        <f t="shared" ca="1" si="0"/>
        <v>37</v>
      </c>
      <c r="N5" t="s">
        <v>38</v>
      </c>
      <c r="O5" t="s">
        <v>32</v>
      </c>
      <c r="P5" s="3">
        <v>39630</v>
      </c>
      <c r="Q5" s="7">
        <f t="shared" ca="1" si="1"/>
        <v>17.8</v>
      </c>
      <c r="R5" t="s">
        <v>27</v>
      </c>
      <c r="S5" t="s">
        <v>41</v>
      </c>
      <c r="T5">
        <v>16</v>
      </c>
      <c r="U5" t="s">
        <v>35</v>
      </c>
      <c r="V5">
        <v>0</v>
      </c>
      <c r="W5">
        <v>0</v>
      </c>
      <c r="X5">
        <v>15</v>
      </c>
    </row>
    <row r="6" spans="1:24" x14ac:dyDescent="0.3">
      <c r="A6" t="s">
        <v>42</v>
      </c>
      <c r="B6">
        <v>10069</v>
      </c>
      <c r="C6" t="s">
        <v>435</v>
      </c>
      <c r="D6">
        <v>5</v>
      </c>
      <c r="E6">
        <v>5</v>
      </c>
      <c r="F6">
        <v>3</v>
      </c>
      <c r="G6">
        <v>50825</v>
      </c>
      <c r="H6">
        <v>19</v>
      </c>
      <c r="I6" t="s">
        <v>23</v>
      </c>
      <c r="J6" t="s">
        <v>24</v>
      </c>
      <c r="K6">
        <v>2169</v>
      </c>
      <c r="L6" s="3">
        <v>32729</v>
      </c>
      <c r="M6" s="5">
        <f t="shared" ca="1" si="0"/>
        <v>36</v>
      </c>
      <c r="N6" t="s">
        <v>38</v>
      </c>
      <c r="O6" t="s">
        <v>43</v>
      </c>
      <c r="P6" s="3">
        <v>40854</v>
      </c>
      <c r="Q6" s="7">
        <f t="shared" ca="1" si="1"/>
        <v>14.446575342465753</v>
      </c>
      <c r="R6" t="s">
        <v>27</v>
      </c>
      <c r="S6" t="s">
        <v>44</v>
      </c>
      <c r="T6">
        <v>39</v>
      </c>
      <c r="U6" t="s">
        <v>45</v>
      </c>
      <c r="V6">
        <v>0</v>
      </c>
      <c r="W6">
        <v>0</v>
      </c>
      <c r="X6">
        <v>2</v>
      </c>
    </row>
    <row r="7" spans="1:24" x14ac:dyDescent="0.3">
      <c r="A7" t="s">
        <v>46</v>
      </c>
      <c r="B7">
        <v>10002</v>
      </c>
      <c r="C7" t="s">
        <v>435</v>
      </c>
      <c r="D7">
        <v>1</v>
      </c>
      <c r="E7">
        <v>5</v>
      </c>
      <c r="F7">
        <v>4</v>
      </c>
      <c r="G7">
        <v>57568</v>
      </c>
      <c r="H7">
        <v>19</v>
      </c>
      <c r="I7" t="s">
        <v>23</v>
      </c>
      <c r="J7" t="s">
        <v>24</v>
      </c>
      <c r="K7">
        <v>1844</v>
      </c>
      <c r="L7" s="3">
        <v>28161</v>
      </c>
      <c r="M7" s="5">
        <f t="shared" ca="1" si="0"/>
        <v>49</v>
      </c>
      <c r="N7" t="s">
        <v>38</v>
      </c>
      <c r="O7" t="s">
        <v>26</v>
      </c>
      <c r="P7" s="3">
        <v>41153</v>
      </c>
      <c r="Q7" s="7">
        <f t="shared" ca="1" si="1"/>
        <v>13.627397260273973</v>
      </c>
      <c r="R7" t="s">
        <v>27</v>
      </c>
      <c r="S7" t="s">
        <v>47</v>
      </c>
      <c r="T7">
        <v>11</v>
      </c>
      <c r="U7" t="s">
        <v>29</v>
      </c>
      <c r="V7">
        <v>0</v>
      </c>
      <c r="W7">
        <v>0</v>
      </c>
      <c r="X7">
        <v>15</v>
      </c>
    </row>
    <row r="8" spans="1:24" x14ac:dyDescent="0.3">
      <c r="A8" t="s">
        <v>48</v>
      </c>
      <c r="B8">
        <v>10194</v>
      </c>
      <c r="C8" t="s">
        <v>435</v>
      </c>
      <c r="D8">
        <v>1</v>
      </c>
      <c r="E8">
        <v>4</v>
      </c>
      <c r="F8">
        <v>3</v>
      </c>
      <c r="G8">
        <v>95660</v>
      </c>
      <c r="H8">
        <v>24</v>
      </c>
      <c r="I8" t="s">
        <v>49</v>
      </c>
      <c r="J8" t="s">
        <v>24</v>
      </c>
      <c r="K8">
        <v>2110</v>
      </c>
      <c r="L8" s="3">
        <v>28950</v>
      </c>
      <c r="M8" s="5">
        <f t="shared" ca="1" si="0"/>
        <v>47</v>
      </c>
      <c r="N8" t="s">
        <v>38</v>
      </c>
      <c r="O8" t="s">
        <v>26</v>
      </c>
      <c r="P8" s="3">
        <v>41923</v>
      </c>
      <c r="Q8" s="7">
        <f t="shared" ca="1" si="1"/>
        <v>11.517808219178082</v>
      </c>
      <c r="R8" t="s">
        <v>50</v>
      </c>
      <c r="S8" t="s">
        <v>51</v>
      </c>
      <c r="T8">
        <v>10</v>
      </c>
      <c r="U8" t="s">
        <v>29</v>
      </c>
      <c r="V8">
        <v>4</v>
      </c>
      <c r="W8">
        <v>0</v>
      </c>
      <c r="X8">
        <v>19</v>
      </c>
    </row>
    <row r="9" spans="1:24" x14ac:dyDescent="0.3">
      <c r="A9" t="s">
        <v>52</v>
      </c>
      <c r="B9">
        <v>10062</v>
      </c>
      <c r="C9" t="s">
        <v>436</v>
      </c>
      <c r="D9">
        <v>1</v>
      </c>
      <c r="E9">
        <v>5</v>
      </c>
      <c r="F9">
        <v>3</v>
      </c>
      <c r="G9">
        <v>59365</v>
      </c>
      <c r="H9">
        <v>19</v>
      </c>
      <c r="I9" t="s">
        <v>23</v>
      </c>
      <c r="J9" t="s">
        <v>24</v>
      </c>
      <c r="K9">
        <v>2199</v>
      </c>
      <c r="L9" s="3">
        <v>30530</v>
      </c>
      <c r="M9" s="5">
        <f t="shared" ca="1" si="0"/>
        <v>42</v>
      </c>
      <c r="N9" t="s">
        <v>25</v>
      </c>
      <c r="O9" t="s">
        <v>53</v>
      </c>
      <c r="P9" s="3">
        <v>41547</v>
      </c>
      <c r="Q9" s="7">
        <f t="shared" ca="1" si="1"/>
        <v>12.547945205479452</v>
      </c>
      <c r="R9" t="s">
        <v>27</v>
      </c>
      <c r="S9" t="s">
        <v>54</v>
      </c>
      <c r="T9">
        <v>19</v>
      </c>
      <c r="U9" t="s">
        <v>55</v>
      </c>
      <c r="V9">
        <v>0</v>
      </c>
      <c r="W9">
        <v>0</v>
      </c>
      <c r="X9">
        <v>19</v>
      </c>
    </row>
    <row r="10" spans="1:24" x14ac:dyDescent="0.3">
      <c r="A10" t="s">
        <v>56</v>
      </c>
      <c r="B10">
        <v>10114</v>
      </c>
      <c r="C10" t="s">
        <v>435</v>
      </c>
      <c r="D10">
        <v>3</v>
      </c>
      <c r="E10">
        <v>5</v>
      </c>
      <c r="F10">
        <v>3</v>
      </c>
      <c r="G10">
        <v>47837</v>
      </c>
      <c r="H10">
        <v>19</v>
      </c>
      <c r="I10" t="s">
        <v>23</v>
      </c>
      <c r="J10" t="s">
        <v>24</v>
      </c>
      <c r="K10">
        <v>1902</v>
      </c>
      <c r="L10" s="3">
        <v>25874</v>
      </c>
      <c r="M10" s="5">
        <f t="shared" ca="1" si="0"/>
        <v>55</v>
      </c>
      <c r="N10" t="s">
        <v>38</v>
      </c>
      <c r="O10" t="s">
        <v>26</v>
      </c>
      <c r="P10" s="3">
        <v>39971</v>
      </c>
      <c r="Q10" s="7">
        <f t="shared" ca="1" si="1"/>
        <v>16.865753424657534</v>
      </c>
      <c r="R10" t="s">
        <v>27</v>
      </c>
      <c r="S10" t="s">
        <v>57</v>
      </c>
      <c r="T10">
        <v>12</v>
      </c>
      <c r="U10" t="s">
        <v>58</v>
      </c>
      <c r="V10">
        <v>0</v>
      </c>
      <c r="W10">
        <v>0</v>
      </c>
      <c r="X10">
        <v>4</v>
      </c>
    </row>
    <row r="11" spans="1:24" x14ac:dyDescent="0.3">
      <c r="A11" t="s">
        <v>59</v>
      </c>
      <c r="B11">
        <v>10250</v>
      </c>
      <c r="C11" t="s">
        <v>436</v>
      </c>
      <c r="D11">
        <v>1</v>
      </c>
      <c r="E11">
        <v>3</v>
      </c>
      <c r="F11">
        <v>3</v>
      </c>
      <c r="G11">
        <v>50178</v>
      </c>
      <c r="H11">
        <v>14</v>
      </c>
      <c r="I11" t="s">
        <v>60</v>
      </c>
      <c r="J11" t="s">
        <v>24</v>
      </c>
      <c r="K11">
        <v>1886</v>
      </c>
      <c r="L11" s="3">
        <v>32325</v>
      </c>
      <c r="M11" s="5">
        <f t="shared" ca="1" si="0"/>
        <v>37</v>
      </c>
      <c r="N11" t="s">
        <v>25</v>
      </c>
      <c r="O11" t="s">
        <v>43</v>
      </c>
      <c r="P11" s="3">
        <v>42125</v>
      </c>
      <c r="Q11" s="7">
        <f t="shared" ca="1" si="1"/>
        <v>10.964383561643835</v>
      </c>
      <c r="R11" t="s">
        <v>33</v>
      </c>
      <c r="S11" t="s">
        <v>61</v>
      </c>
      <c r="T11">
        <v>7</v>
      </c>
      <c r="U11" t="s">
        <v>35</v>
      </c>
      <c r="V11">
        <v>6</v>
      </c>
      <c r="W11">
        <v>0</v>
      </c>
      <c r="X11">
        <v>16</v>
      </c>
    </row>
    <row r="12" spans="1:24" x14ac:dyDescent="0.3">
      <c r="A12" t="s">
        <v>62</v>
      </c>
      <c r="B12">
        <v>10252</v>
      </c>
      <c r="C12" t="s">
        <v>435</v>
      </c>
      <c r="D12">
        <v>5</v>
      </c>
      <c r="E12">
        <v>5</v>
      </c>
      <c r="F12">
        <v>3</v>
      </c>
      <c r="G12">
        <v>54670</v>
      </c>
      <c r="H12">
        <v>19</v>
      </c>
      <c r="I12" t="s">
        <v>23</v>
      </c>
      <c r="J12" t="s">
        <v>24</v>
      </c>
      <c r="K12">
        <v>1902</v>
      </c>
      <c r="L12" s="3">
        <v>27364</v>
      </c>
      <c r="M12" s="5">
        <f t="shared" ca="1" si="0"/>
        <v>51</v>
      </c>
      <c r="N12" t="s">
        <v>38</v>
      </c>
      <c r="O12" t="s">
        <v>32</v>
      </c>
      <c r="P12" s="3">
        <v>40817</v>
      </c>
      <c r="Q12" s="7">
        <f t="shared" ca="1" si="1"/>
        <v>14.547945205479452</v>
      </c>
      <c r="R12" t="s">
        <v>27</v>
      </c>
      <c r="S12" t="s">
        <v>63</v>
      </c>
      <c r="T12">
        <v>14</v>
      </c>
      <c r="U12" t="s">
        <v>58</v>
      </c>
      <c r="V12">
        <v>0</v>
      </c>
      <c r="W12">
        <v>0</v>
      </c>
      <c r="X12">
        <v>12</v>
      </c>
    </row>
    <row r="13" spans="1:24" x14ac:dyDescent="0.3">
      <c r="A13" t="s">
        <v>64</v>
      </c>
      <c r="B13">
        <v>10242</v>
      </c>
      <c r="C13" t="s">
        <v>436</v>
      </c>
      <c r="D13">
        <v>5</v>
      </c>
      <c r="E13">
        <v>5</v>
      </c>
      <c r="F13">
        <v>3</v>
      </c>
      <c r="G13">
        <v>47211</v>
      </c>
      <c r="H13">
        <v>19</v>
      </c>
      <c r="I13" t="s">
        <v>23</v>
      </c>
      <c r="J13" t="s">
        <v>24</v>
      </c>
      <c r="K13">
        <v>2062</v>
      </c>
      <c r="L13" s="3">
        <v>27335</v>
      </c>
      <c r="M13" s="5">
        <f t="shared" ca="1" si="0"/>
        <v>51</v>
      </c>
      <c r="N13" t="s">
        <v>25</v>
      </c>
      <c r="O13" t="s">
        <v>32</v>
      </c>
      <c r="P13" s="3">
        <v>40943</v>
      </c>
      <c r="Q13" s="7">
        <f t="shared" ca="1" si="1"/>
        <v>14.202739726027398</v>
      </c>
      <c r="R13" t="s">
        <v>27</v>
      </c>
      <c r="S13" t="s">
        <v>39</v>
      </c>
      <c r="T13">
        <v>20</v>
      </c>
      <c r="U13" t="s">
        <v>58</v>
      </c>
      <c r="V13">
        <v>0</v>
      </c>
      <c r="W13">
        <v>0</v>
      </c>
      <c r="X13">
        <v>15</v>
      </c>
    </row>
    <row r="14" spans="1:24" x14ac:dyDescent="0.3">
      <c r="A14" t="s">
        <v>65</v>
      </c>
      <c r="B14">
        <v>10012</v>
      </c>
      <c r="C14" t="s">
        <v>436</v>
      </c>
      <c r="D14">
        <v>1</v>
      </c>
      <c r="E14">
        <v>3</v>
      </c>
      <c r="F14">
        <v>4</v>
      </c>
      <c r="G14">
        <v>92328</v>
      </c>
      <c r="H14">
        <v>9</v>
      </c>
      <c r="I14" t="s">
        <v>66</v>
      </c>
      <c r="J14" t="s">
        <v>67</v>
      </c>
      <c r="K14">
        <v>78230</v>
      </c>
      <c r="L14" s="3">
        <v>32240</v>
      </c>
      <c r="M14" s="5">
        <f t="shared" ca="1" si="0"/>
        <v>38</v>
      </c>
      <c r="N14" t="s">
        <v>25</v>
      </c>
      <c r="O14" t="s">
        <v>43</v>
      </c>
      <c r="P14" s="3">
        <v>41923</v>
      </c>
      <c r="Q14" s="7">
        <f t="shared" ca="1" si="1"/>
        <v>11.517808219178082</v>
      </c>
      <c r="R14" t="s">
        <v>33</v>
      </c>
      <c r="S14" t="s">
        <v>34</v>
      </c>
      <c r="T14">
        <v>4</v>
      </c>
      <c r="U14" t="s">
        <v>58</v>
      </c>
      <c r="V14">
        <v>5</v>
      </c>
      <c r="W14">
        <v>0</v>
      </c>
      <c r="X14">
        <v>9</v>
      </c>
    </row>
    <row r="15" spans="1:24" x14ac:dyDescent="0.3">
      <c r="A15" t="s">
        <v>68</v>
      </c>
      <c r="B15">
        <v>10265</v>
      </c>
      <c r="C15" t="s">
        <v>436</v>
      </c>
      <c r="D15">
        <v>1</v>
      </c>
      <c r="E15">
        <v>5</v>
      </c>
      <c r="F15">
        <v>3</v>
      </c>
      <c r="G15">
        <v>58709</v>
      </c>
      <c r="H15">
        <v>19</v>
      </c>
      <c r="I15" t="s">
        <v>23</v>
      </c>
      <c r="J15" t="s">
        <v>24</v>
      </c>
      <c r="K15">
        <v>1810</v>
      </c>
      <c r="L15" s="3">
        <v>30382</v>
      </c>
      <c r="M15" s="5">
        <f t="shared" ca="1" si="0"/>
        <v>43</v>
      </c>
      <c r="N15" t="s">
        <v>25</v>
      </c>
      <c r="O15" t="s">
        <v>26</v>
      </c>
      <c r="P15" s="3">
        <v>40959</v>
      </c>
      <c r="Q15" s="7">
        <f t="shared" ca="1" si="1"/>
        <v>14.158904109589042</v>
      </c>
      <c r="R15" t="s">
        <v>27</v>
      </c>
      <c r="S15" t="s">
        <v>69</v>
      </c>
      <c r="T15">
        <v>18</v>
      </c>
      <c r="U15" t="s">
        <v>45</v>
      </c>
      <c r="V15">
        <v>0</v>
      </c>
      <c r="W15">
        <v>0</v>
      </c>
      <c r="X15">
        <v>7</v>
      </c>
    </row>
    <row r="16" spans="1:24" x14ac:dyDescent="0.3">
      <c r="A16" t="s">
        <v>70</v>
      </c>
      <c r="B16">
        <v>10066</v>
      </c>
      <c r="C16" t="s">
        <v>436</v>
      </c>
      <c r="D16">
        <v>5</v>
      </c>
      <c r="E16">
        <v>5</v>
      </c>
      <c r="F16">
        <v>3</v>
      </c>
      <c r="G16">
        <v>52505</v>
      </c>
      <c r="H16">
        <v>19</v>
      </c>
      <c r="I16" t="s">
        <v>23</v>
      </c>
      <c r="J16" t="s">
        <v>24</v>
      </c>
      <c r="K16">
        <v>2747</v>
      </c>
      <c r="L16" s="3">
        <v>28252</v>
      </c>
      <c r="M16" s="5">
        <f t="shared" ca="1" si="0"/>
        <v>48</v>
      </c>
      <c r="N16" t="s">
        <v>25</v>
      </c>
      <c r="O16" t="s">
        <v>43</v>
      </c>
      <c r="P16" s="3">
        <v>41176</v>
      </c>
      <c r="Q16" s="7">
        <f t="shared" ca="1" si="1"/>
        <v>13.564383561643835</v>
      </c>
      <c r="R16" t="s">
        <v>27</v>
      </c>
      <c r="S16" t="s">
        <v>28</v>
      </c>
      <c r="T16">
        <v>22</v>
      </c>
      <c r="U16" t="s">
        <v>71</v>
      </c>
      <c r="V16">
        <v>0</v>
      </c>
      <c r="W16">
        <v>0</v>
      </c>
      <c r="X16">
        <v>1</v>
      </c>
    </row>
    <row r="17" spans="1:24" x14ac:dyDescent="0.3">
      <c r="A17" t="s">
        <v>72</v>
      </c>
      <c r="B17">
        <v>10061</v>
      </c>
      <c r="C17" t="s">
        <v>436</v>
      </c>
      <c r="D17">
        <v>4</v>
      </c>
      <c r="E17">
        <v>5</v>
      </c>
      <c r="F17">
        <v>3</v>
      </c>
      <c r="G17">
        <v>57834</v>
      </c>
      <c r="H17">
        <v>19</v>
      </c>
      <c r="I17" t="s">
        <v>23</v>
      </c>
      <c r="J17" t="s">
        <v>24</v>
      </c>
      <c r="K17">
        <v>2050</v>
      </c>
      <c r="L17" s="3">
        <v>29808</v>
      </c>
      <c r="M17" s="5">
        <f t="shared" ca="1" si="0"/>
        <v>44</v>
      </c>
      <c r="N17" t="s">
        <v>25</v>
      </c>
      <c r="O17" t="s">
        <v>26</v>
      </c>
      <c r="P17" s="3">
        <v>40595</v>
      </c>
      <c r="Q17" s="7">
        <f t="shared" ca="1" si="1"/>
        <v>15.156164383561643</v>
      </c>
      <c r="R17" t="s">
        <v>27</v>
      </c>
      <c r="S17" t="s">
        <v>69</v>
      </c>
      <c r="T17">
        <v>18</v>
      </c>
      <c r="U17" t="s">
        <v>45</v>
      </c>
      <c r="V17">
        <v>0</v>
      </c>
      <c r="W17">
        <v>0</v>
      </c>
      <c r="X17">
        <v>20</v>
      </c>
    </row>
    <row r="18" spans="1:24" x14ac:dyDescent="0.3">
      <c r="A18" t="s">
        <v>73</v>
      </c>
      <c r="B18">
        <v>10023</v>
      </c>
      <c r="C18" t="s">
        <v>435</v>
      </c>
      <c r="D18">
        <v>2</v>
      </c>
      <c r="E18">
        <v>5</v>
      </c>
      <c r="F18">
        <v>4</v>
      </c>
      <c r="G18">
        <v>70131</v>
      </c>
      <c r="H18">
        <v>20</v>
      </c>
      <c r="I18" t="s">
        <v>37</v>
      </c>
      <c r="J18" t="s">
        <v>24</v>
      </c>
      <c r="K18">
        <v>2145</v>
      </c>
      <c r="L18" s="3">
        <v>24292</v>
      </c>
      <c r="M18" s="5">
        <f t="shared" ca="1" si="0"/>
        <v>59</v>
      </c>
      <c r="N18" t="s">
        <v>38</v>
      </c>
      <c r="O18" t="s">
        <v>32</v>
      </c>
      <c r="P18" s="3">
        <v>42572</v>
      </c>
      <c r="Q18" s="7">
        <f t="shared" ca="1" si="1"/>
        <v>9.7397260273972606</v>
      </c>
      <c r="R18" t="s">
        <v>27</v>
      </c>
      <c r="S18" t="s">
        <v>69</v>
      </c>
      <c r="T18">
        <v>18</v>
      </c>
      <c r="U18" t="s">
        <v>55</v>
      </c>
      <c r="V18">
        <v>0</v>
      </c>
      <c r="W18">
        <v>0</v>
      </c>
      <c r="X18">
        <v>16</v>
      </c>
    </row>
    <row r="19" spans="1:24" x14ac:dyDescent="0.3">
      <c r="A19" t="s">
        <v>74</v>
      </c>
      <c r="B19">
        <v>10055</v>
      </c>
      <c r="C19" t="s">
        <v>435</v>
      </c>
      <c r="D19">
        <v>1</v>
      </c>
      <c r="E19">
        <v>5</v>
      </c>
      <c r="F19">
        <v>3</v>
      </c>
      <c r="G19">
        <v>59026</v>
      </c>
      <c r="H19">
        <v>19</v>
      </c>
      <c r="I19" t="s">
        <v>23</v>
      </c>
      <c r="J19" t="s">
        <v>24</v>
      </c>
      <c r="K19">
        <v>1915</v>
      </c>
      <c r="L19" s="3">
        <v>25759</v>
      </c>
      <c r="M19" s="5">
        <f t="shared" ca="1" si="0"/>
        <v>55</v>
      </c>
      <c r="N19" t="s">
        <v>38</v>
      </c>
      <c r="O19" t="s">
        <v>26</v>
      </c>
      <c r="P19" s="3">
        <v>40637</v>
      </c>
      <c r="Q19" s="7">
        <f t="shared" ca="1" si="1"/>
        <v>15.04109589041096</v>
      </c>
      <c r="R19" t="s">
        <v>27</v>
      </c>
      <c r="S19" t="s">
        <v>41</v>
      </c>
      <c r="T19">
        <v>16</v>
      </c>
      <c r="U19" t="s">
        <v>45</v>
      </c>
      <c r="V19">
        <v>0</v>
      </c>
      <c r="W19">
        <v>0</v>
      </c>
      <c r="X19">
        <v>12</v>
      </c>
    </row>
    <row r="20" spans="1:24" x14ac:dyDescent="0.3">
      <c r="A20" t="s">
        <v>75</v>
      </c>
      <c r="B20">
        <v>10245</v>
      </c>
      <c r="C20" t="s">
        <v>435</v>
      </c>
      <c r="D20">
        <v>4</v>
      </c>
      <c r="E20">
        <v>3</v>
      </c>
      <c r="F20">
        <v>3</v>
      </c>
      <c r="G20">
        <v>110000</v>
      </c>
      <c r="H20">
        <v>8</v>
      </c>
      <c r="I20" t="s">
        <v>76</v>
      </c>
      <c r="J20" t="s">
        <v>24</v>
      </c>
      <c r="K20">
        <v>2026</v>
      </c>
      <c r="L20" s="3">
        <v>31506</v>
      </c>
      <c r="M20" s="5">
        <f t="shared" ca="1" si="0"/>
        <v>40</v>
      </c>
      <c r="N20" t="s">
        <v>38</v>
      </c>
      <c r="O20" t="s">
        <v>26</v>
      </c>
      <c r="P20" s="3">
        <v>41827</v>
      </c>
      <c r="Q20" s="7">
        <f t="shared" ca="1" si="1"/>
        <v>11.780821917808218</v>
      </c>
      <c r="R20" t="s">
        <v>33</v>
      </c>
      <c r="S20" t="s">
        <v>34</v>
      </c>
      <c r="T20">
        <v>4</v>
      </c>
      <c r="U20" t="s">
        <v>45</v>
      </c>
      <c r="V20">
        <v>5</v>
      </c>
      <c r="W20">
        <v>0</v>
      </c>
      <c r="X20">
        <v>8</v>
      </c>
    </row>
    <row r="21" spans="1:24" x14ac:dyDescent="0.3">
      <c r="A21" t="s">
        <v>77</v>
      </c>
      <c r="B21">
        <v>10277</v>
      </c>
      <c r="C21" t="s">
        <v>436</v>
      </c>
      <c r="D21">
        <v>3</v>
      </c>
      <c r="E21">
        <v>5</v>
      </c>
      <c r="F21">
        <v>3</v>
      </c>
      <c r="G21">
        <v>53250</v>
      </c>
      <c r="H21">
        <v>19</v>
      </c>
      <c r="I21" t="s">
        <v>23</v>
      </c>
      <c r="J21" t="s">
        <v>24</v>
      </c>
      <c r="K21">
        <v>2452</v>
      </c>
      <c r="L21" s="3">
        <v>29010</v>
      </c>
      <c r="M21" s="5">
        <f t="shared" ca="1" si="0"/>
        <v>46</v>
      </c>
      <c r="N21" t="s">
        <v>25</v>
      </c>
      <c r="O21" t="s">
        <v>26</v>
      </c>
      <c r="P21" s="3">
        <v>41493</v>
      </c>
      <c r="Q21" s="7">
        <f t="shared" ca="1" si="1"/>
        <v>12.695890410958905</v>
      </c>
      <c r="R21" t="s">
        <v>27</v>
      </c>
      <c r="S21" t="s">
        <v>44</v>
      </c>
      <c r="U21" t="s">
        <v>29</v>
      </c>
      <c r="V21">
        <v>0</v>
      </c>
      <c r="W21">
        <v>0</v>
      </c>
      <c r="X21">
        <v>13</v>
      </c>
    </row>
    <row r="22" spans="1:24" x14ac:dyDescent="0.3">
      <c r="A22" t="s">
        <v>78</v>
      </c>
      <c r="B22">
        <v>10046</v>
      </c>
      <c r="C22" t="s">
        <v>436</v>
      </c>
      <c r="D22">
        <v>1</v>
      </c>
      <c r="E22">
        <v>5</v>
      </c>
      <c r="F22">
        <v>3</v>
      </c>
      <c r="G22">
        <v>51044</v>
      </c>
      <c r="H22">
        <v>19</v>
      </c>
      <c r="I22" t="s">
        <v>23</v>
      </c>
      <c r="J22" t="s">
        <v>24</v>
      </c>
      <c r="K22">
        <v>2072</v>
      </c>
      <c r="L22" s="3">
        <v>25611</v>
      </c>
      <c r="M22" s="5">
        <f t="shared" ca="1" si="0"/>
        <v>56</v>
      </c>
      <c r="N22" t="s">
        <v>25</v>
      </c>
      <c r="O22" t="s">
        <v>26</v>
      </c>
      <c r="P22" s="3">
        <v>40943</v>
      </c>
      <c r="Q22" s="7">
        <f t="shared" ca="1" si="1"/>
        <v>14.202739726027398</v>
      </c>
      <c r="R22" t="s">
        <v>27</v>
      </c>
      <c r="S22" t="s">
        <v>47</v>
      </c>
      <c r="T22">
        <v>11</v>
      </c>
      <c r="U22" t="s">
        <v>45</v>
      </c>
      <c r="V22">
        <v>0</v>
      </c>
      <c r="W22">
        <v>0</v>
      </c>
      <c r="X22">
        <v>13</v>
      </c>
    </row>
    <row r="23" spans="1:24" x14ac:dyDescent="0.3">
      <c r="A23" t="s">
        <v>79</v>
      </c>
      <c r="B23">
        <v>10226</v>
      </c>
      <c r="C23" t="s">
        <v>435</v>
      </c>
      <c r="D23">
        <v>1</v>
      </c>
      <c r="E23">
        <v>5</v>
      </c>
      <c r="F23">
        <v>3</v>
      </c>
      <c r="G23">
        <v>64919</v>
      </c>
      <c r="H23">
        <v>19</v>
      </c>
      <c r="I23" t="s">
        <v>23</v>
      </c>
      <c r="J23" t="s">
        <v>24</v>
      </c>
      <c r="K23">
        <v>2027</v>
      </c>
      <c r="L23" s="3">
        <v>21378</v>
      </c>
      <c r="M23" s="5">
        <f t="shared" ca="1" si="0"/>
        <v>67</v>
      </c>
      <c r="N23" t="s">
        <v>38</v>
      </c>
      <c r="O23" t="s">
        <v>43</v>
      </c>
      <c r="P23" s="3">
        <v>41536</v>
      </c>
      <c r="Q23" s="7">
        <f t="shared" ca="1" si="1"/>
        <v>12.578082191780823</v>
      </c>
      <c r="R23" t="s">
        <v>27</v>
      </c>
      <c r="S23" t="s">
        <v>54</v>
      </c>
      <c r="T23">
        <v>19</v>
      </c>
      <c r="U23" t="s">
        <v>35</v>
      </c>
      <c r="V23">
        <v>0</v>
      </c>
      <c r="W23">
        <v>0</v>
      </c>
      <c r="X23">
        <v>2</v>
      </c>
    </row>
    <row r="24" spans="1:24" x14ac:dyDescent="0.3">
      <c r="A24" t="s">
        <v>80</v>
      </c>
      <c r="B24">
        <v>10003</v>
      </c>
      <c r="C24" t="s">
        <v>435</v>
      </c>
      <c r="D24">
        <v>1</v>
      </c>
      <c r="E24">
        <v>5</v>
      </c>
      <c r="F24">
        <v>4</v>
      </c>
      <c r="G24">
        <v>62910</v>
      </c>
      <c r="H24">
        <v>19</v>
      </c>
      <c r="I24" t="s">
        <v>23</v>
      </c>
      <c r="J24" t="s">
        <v>24</v>
      </c>
      <c r="K24">
        <v>2031</v>
      </c>
      <c r="L24" s="3">
        <v>32517</v>
      </c>
      <c r="M24" s="5">
        <f t="shared" ca="1" si="0"/>
        <v>37</v>
      </c>
      <c r="N24" t="s">
        <v>38</v>
      </c>
      <c r="O24" t="s">
        <v>32</v>
      </c>
      <c r="P24" s="3">
        <v>41827</v>
      </c>
      <c r="Q24" s="7">
        <f t="shared" ca="1" si="1"/>
        <v>11.780821917808218</v>
      </c>
      <c r="R24" t="s">
        <v>27</v>
      </c>
      <c r="S24" t="s">
        <v>57</v>
      </c>
      <c r="T24">
        <v>12</v>
      </c>
      <c r="U24" t="s">
        <v>35</v>
      </c>
      <c r="V24">
        <v>0</v>
      </c>
      <c r="W24">
        <v>0</v>
      </c>
      <c r="X24">
        <v>19</v>
      </c>
    </row>
    <row r="25" spans="1:24" x14ac:dyDescent="0.3">
      <c r="A25" t="s">
        <v>81</v>
      </c>
      <c r="B25">
        <v>10294</v>
      </c>
      <c r="C25" t="s">
        <v>435</v>
      </c>
      <c r="D25">
        <v>1</v>
      </c>
      <c r="E25">
        <v>5</v>
      </c>
      <c r="F25">
        <v>2</v>
      </c>
      <c r="G25">
        <v>66441</v>
      </c>
      <c r="H25">
        <v>20</v>
      </c>
      <c r="I25" t="s">
        <v>37</v>
      </c>
      <c r="J25" t="s">
        <v>24</v>
      </c>
      <c r="K25">
        <v>2171</v>
      </c>
      <c r="L25" s="3">
        <v>33186</v>
      </c>
      <c r="M25" s="5">
        <f t="shared" ca="1" si="0"/>
        <v>35</v>
      </c>
      <c r="N25" t="s">
        <v>38</v>
      </c>
      <c r="O25" t="s">
        <v>26</v>
      </c>
      <c r="P25" s="3">
        <v>40637</v>
      </c>
      <c r="Q25" s="7">
        <f t="shared" ca="1" si="1"/>
        <v>15.04109589041096</v>
      </c>
      <c r="R25" t="s">
        <v>27</v>
      </c>
      <c r="S25" t="s">
        <v>28</v>
      </c>
      <c r="T25">
        <v>22</v>
      </c>
      <c r="U25" t="s">
        <v>82</v>
      </c>
      <c r="V25">
        <v>0</v>
      </c>
      <c r="W25">
        <v>2</v>
      </c>
      <c r="X25">
        <v>3</v>
      </c>
    </row>
    <row r="26" spans="1:24" x14ac:dyDescent="0.3">
      <c r="A26" t="s">
        <v>83</v>
      </c>
      <c r="B26">
        <v>10267</v>
      </c>
      <c r="C26" t="s">
        <v>435</v>
      </c>
      <c r="D26">
        <v>5</v>
      </c>
      <c r="E26">
        <v>5</v>
      </c>
      <c r="F26">
        <v>3</v>
      </c>
      <c r="G26">
        <v>57815</v>
      </c>
      <c r="H26">
        <v>20</v>
      </c>
      <c r="I26" t="s">
        <v>37</v>
      </c>
      <c r="J26" t="s">
        <v>24</v>
      </c>
      <c r="K26">
        <v>2210</v>
      </c>
      <c r="L26" s="3">
        <v>24624</v>
      </c>
      <c r="M26" s="5">
        <f t="shared" ca="1" si="0"/>
        <v>58</v>
      </c>
      <c r="N26" t="s">
        <v>38</v>
      </c>
      <c r="O26" t="s">
        <v>26</v>
      </c>
      <c r="P26" s="3">
        <v>40817</v>
      </c>
      <c r="Q26" s="7">
        <f t="shared" ca="1" si="1"/>
        <v>14.547945205479452</v>
      </c>
      <c r="R26" t="s">
        <v>27</v>
      </c>
      <c r="S26" t="s">
        <v>41</v>
      </c>
      <c r="T26">
        <v>16</v>
      </c>
      <c r="U26" t="s">
        <v>45</v>
      </c>
      <c r="V26">
        <v>0</v>
      </c>
      <c r="W26">
        <v>0</v>
      </c>
      <c r="X26">
        <v>5</v>
      </c>
    </row>
    <row r="27" spans="1:24" x14ac:dyDescent="0.3">
      <c r="A27" t="s">
        <v>84</v>
      </c>
      <c r="B27">
        <v>10199</v>
      </c>
      <c r="C27" t="s">
        <v>436</v>
      </c>
      <c r="D27">
        <v>4</v>
      </c>
      <c r="E27">
        <v>3</v>
      </c>
      <c r="F27">
        <v>3</v>
      </c>
      <c r="G27">
        <v>103613</v>
      </c>
      <c r="H27">
        <v>30</v>
      </c>
      <c r="I27" t="s">
        <v>85</v>
      </c>
      <c r="J27" t="s">
        <v>86</v>
      </c>
      <c r="K27">
        <v>6033</v>
      </c>
      <c r="L27" s="3">
        <v>23443</v>
      </c>
      <c r="M27" s="5">
        <f t="shared" ca="1" si="0"/>
        <v>62</v>
      </c>
      <c r="N27" t="s">
        <v>25</v>
      </c>
      <c r="O27" t="s">
        <v>26</v>
      </c>
      <c r="P27" s="3">
        <v>41687</v>
      </c>
      <c r="Q27" s="7">
        <f t="shared" ca="1" si="1"/>
        <v>12.164383561643836</v>
      </c>
      <c r="R27" t="s">
        <v>33</v>
      </c>
      <c r="S27" t="s">
        <v>34</v>
      </c>
      <c r="T27">
        <v>4</v>
      </c>
      <c r="U27" t="s">
        <v>29</v>
      </c>
      <c r="V27">
        <v>7</v>
      </c>
      <c r="W27">
        <v>0</v>
      </c>
      <c r="X27">
        <v>2</v>
      </c>
    </row>
    <row r="28" spans="1:24" x14ac:dyDescent="0.3">
      <c r="A28" t="s">
        <v>87</v>
      </c>
      <c r="B28">
        <v>10081</v>
      </c>
      <c r="C28" t="s">
        <v>435</v>
      </c>
      <c r="D28">
        <v>1</v>
      </c>
      <c r="E28">
        <v>1</v>
      </c>
      <c r="F28">
        <v>3</v>
      </c>
      <c r="G28">
        <v>106367</v>
      </c>
      <c r="H28">
        <v>26</v>
      </c>
      <c r="I28" t="s">
        <v>88</v>
      </c>
      <c r="J28" t="s">
        <v>24</v>
      </c>
      <c r="K28">
        <v>2468</v>
      </c>
      <c r="L28" s="3">
        <v>31871</v>
      </c>
      <c r="M28" s="5">
        <f t="shared" ca="1" si="0"/>
        <v>39</v>
      </c>
      <c r="N28" t="s">
        <v>38</v>
      </c>
      <c r="O28" t="s">
        <v>32</v>
      </c>
      <c r="P28" s="3">
        <v>42051</v>
      </c>
      <c r="Q28" s="7">
        <f t="shared" ca="1" si="1"/>
        <v>11.167123287671233</v>
      </c>
      <c r="R28" t="s">
        <v>89</v>
      </c>
      <c r="S28" t="s">
        <v>90</v>
      </c>
      <c r="T28">
        <v>3</v>
      </c>
      <c r="U28" t="s">
        <v>58</v>
      </c>
      <c r="V28">
        <v>3</v>
      </c>
      <c r="W28">
        <v>0</v>
      </c>
      <c r="X28">
        <v>4</v>
      </c>
    </row>
    <row r="29" spans="1:24" x14ac:dyDescent="0.3">
      <c r="A29" t="s">
        <v>91</v>
      </c>
      <c r="B29">
        <v>10175</v>
      </c>
      <c r="C29" t="s">
        <v>436</v>
      </c>
      <c r="D29">
        <v>5</v>
      </c>
      <c r="E29">
        <v>5</v>
      </c>
      <c r="F29">
        <v>3</v>
      </c>
      <c r="G29">
        <v>74312</v>
      </c>
      <c r="H29">
        <v>18</v>
      </c>
      <c r="I29" t="s">
        <v>92</v>
      </c>
      <c r="J29" t="s">
        <v>24</v>
      </c>
      <c r="K29">
        <v>1901</v>
      </c>
      <c r="L29" s="3">
        <v>25844</v>
      </c>
      <c r="M29" s="5">
        <f t="shared" ca="1" si="0"/>
        <v>55</v>
      </c>
      <c r="N29" t="s">
        <v>25</v>
      </c>
      <c r="O29" t="s">
        <v>26</v>
      </c>
      <c r="P29" s="3">
        <v>41547</v>
      </c>
      <c r="Q29" s="7">
        <f t="shared" ca="1" si="1"/>
        <v>12.547945205479452</v>
      </c>
      <c r="R29" t="s">
        <v>27</v>
      </c>
      <c r="S29" t="s">
        <v>93</v>
      </c>
      <c r="T29">
        <v>2</v>
      </c>
      <c r="U29" t="s">
        <v>35</v>
      </c>
      <c r="V29">
        <v>0</v>
      </c>
      <c r="W29">
        <v>0</v>
      </c>
      <c r="X29">
        <v>14</v>
      </c>
    </row>
    <row r="30" spans="1:24" x14ac:dyDescent="0.3">
      <c r="A30" t="s">
        <v>94</v>
      </c>
      <c r="B30">
        <v>10177</v>
      </c>
      <c r="C30" t="s">
        <v>435</v>
      </c>
      <c r="D30">
        <v>5</v>
      </c>
      <c r="E30">
        <v>5</v>
      </c>
      <c r="F30">
        <v>3</v>
      </c>
      <c r="G30">
        <v>53492</v>
      </c>
      <c r="H30">
        <v>19</v>
      </c>
      <c r="I30" t="s">
        <v>23</v>
      </c>
      <c r="J30" t="s">
        <v>24</v>
      </c>
      <c r="K30">
        <v>1701</v>
      </c>
      <c r="L30" s="3">
        <v>32971</v>
      </c>
      <c r="M30" s="5">
        <f t="shared" ca="1" si="0"/>
        <v>36</v>
      </c>
      <c r="N30" t="s">
        <v>38</v>
      </c>
      <c r="O30" t="s">
        <v>32</v>
      </c>
      <c r="P30" s="3">
        <v>40943</v>
      </c>
      <c r="Q30" s="7">
        <f t="shared" ca="1" si="1"/>
        <v>14.202739726027398</v>
      </c>
      <c r="R30" t="s">
        <v>27</v>
      </c>
      <c r="S30" t="s">
        <v>63</v>
      </c>
      <c r="T30">
        <v>14</v>
      </c>
      <c r="U30" t="s">
        <v>45</v>
      </c>
      <c r="V30">
        <v>0</v>
      </c>
      <c r="W30">
        <v>0</v>
      </c>
      <c r="X30">
        <v>6</v>
      </c>
    </row>
    <row r="31" spans="1:24" x14ac:dyDescent="0.3">
      <c r="A31" t="s">
        <v>95</v>
      </c>
      <c r="B31">
        <v>10238</v>
      </c>
      <c r="C31" t="s">
        <v>435</v>
      </c>
      <c r="D31">
        <v>1</v>
      </c>
      <c r="E31">
        <v>1</v>
      </c>
      <c r="F31">
        <v>3</v>
      </c>
      <c r="G31">
        <v>63000</v>
      </c>
      <c r="H31">
        <v>1</v>
      </c>
      <c r="I31" t="s">
        <v>96</v>
      </c>
      <c r="J31" t="s">
        <v>24</v>
      </c>
      <c r="K31">
        <v>1450</v>
      </c>
      <c r="L31" s="3">
        <v>31878</v>
      </c>
      <c r="M31" s="5">
        <f t="shared" ca="1" si="0"/>
        <v>39</v>
      </c>
      <c r="N31" t="s">
        <v>38</v>
      </c>
      <c r="O31" t="s">
        <v>32</v>
      </c>
      <c r="P31" s="3">
        <v>39748</v>
      </c>
      <c r="Q31" s="7">
        <f t="shared" ca="1" si="1"/>
        <v>17.476712328767125</v>
      </c>
      <c r="R31" t="s">
        <v>89</v>
      </c>
      <c r="S31" t="s">
        <v>90</v>
      </c>
      <c r="T31">
        <v>1</v>
      </c>
      <c r="U31" t="s">
        <v>58</v>
      </c>
      <c r="V31">
        <v>6</v>
      </c>
      <c r="W31">
        <v>0</v>
      </c>
      <c r="X31">
        <v>14</v>
      </c>
    </row>
    <row r="32" spans="1:24" x14ac:dyDescent="0.3">
      <c r="A32" t="s">
        <v>97</v>
      </c>
      <c r="B32">
        <v>10184</v>
      </c>
      <c r="C32" t="s">
        <v>436</v>
      </c>
      <c r="D32">
        <v>1</v>
      </c>
      <c r="E32">
        <v>5</v>
      </c>
      <c r="F32">
        <v>3</v>
      </c>
      <c r="G32">
        <v>65288</v>
      </c>
      <c r="H32">
        <v>20</v>
      </c>
      <c r="I32" t="s">
        <v>37</v>
      </c>
      <c r="J32" t="s">
        <v>24</v>
      </c>
      <c r="K32">
        <v>1013</v>
      </c>
      <c r="L32" s="3">
        <v>30535</v>
      </c>
      <c r="M32" s="5">
        <f t="shared" ca="1" si="0"/>
        <v>42</v>
      </c>
      <c r="N32" t="s">
        <v>25</v>
      </c>
      <c r="O32" t="s">
        <v>26</v>
      </c>
      <c r="P32" s="3">
        <v>41911</v>
      </c>
      <c r="Q32" s="7">
        <f t="shared" ca="1" si="1"/>
        <v>11.550684931506849</v>
      </c>
      <c r="R32" t="s">
        <v>27</v>
      </c>
      <c r="S32" t="s">
        <v>44</v>
      </c>
      <c r="U32" t="s">
        <v>45</v>
      </c>
      <c r="V32">
        <v>0</v>
      </c>
      <c r="W32">
        <v>0</v>
      </c>
      <c r="X32">
        <v>9</v>
      </c>
    </row>
    <row r="33" spans="1:24" x14ac:dyDescent="0.3">
      <c r="A33" t="s">
        <v>98</v>
      </c>
      <c r="B33">
        <v>10203</v>
      </c>
      <c r="C33" t="s">
        <v>435</v>
      </c>
      <c r="D33">
        <v>3</v>
      </c>
      <c r="E33">
        <v>5</v>
      </c>
      <c r="F33">
        <v>3</v>
      </c>
      <c r="G33">
        <v>64375</v>
      </c>
      <c r="H33">
        <v>19</v>
      </c>
      <c r="I33" t="s">
        <v>23</v>
      </c>
      <c r="J33" t="s">
        <v>24</v>
      </c>
      <c r="K33">
        <v>2043</v>
      </c>
      <c r="L33" s="3">
        <v>25272</v>
      </c>
      <c r="M33" s="5">
        <f t="shared" ca="1" si="0"/>
        <v>57</v>
      </c>
      <c r="N33" t="s">
        <v>38</v>
      </c>
      <c r="O33" t="s">
        <v>99</v>
      </c>
      <c r="P33" s="3">
        <v>41589</v>
      </c>
      <c r="Q33" s="7">
        <f t="shared" ca="1" si="1"/>
        <v>12.432876712328767</v>
      </c>
      <c r="R33" t="s">
        <v>27</v>
      </c>
      <c r="S33" t="s">
        <v>39</v>
      </c>
      <c r="T33">
        <v>20</v>
      </c>
      <c r="U33" t="s">
        <v>58</v>
      </c>
      <c r="V33">
        <v>0</v>
      </c>
      <c r="W33">
        <v>0</v>
      </c>
      <c r="X33">
        <v>17</v>
      </c>
    </row>
    <row r="34" spans="1:24" x14ac:dyDescent="0.3">
      <c r="A34" t="s">
        <v>100</v>
      </c>
      <c r="B34">
        <v>10188</v>
      </c>
      <c r="C34" t="s">
        <v>435</v>
      </c>
      <c r="D34">
        <v>5</v>
      </c>
      <c r="E34">
        <v>6</v>
      </c>
      <c r="F34">
        <v>3</v>
      </c>
      <c r="G34">
        <v>74326</v>
      </c>
      <c r="H34">
        <v>3</v>
      </c>
      <c r="I34" t="s">
        <v>101</v>
      </c>
      <c r="J34" t="s">
        <v>102</v>
      </c>
      <c r="K34">
        <v>21851</v>
      </c>
      <c r="L34" s="3">
        <v>23382</v>
      </c>
      <c r="M34" s="5">
        <f t="shared" ca="1" si="0"/>
        <v>62</v>
      </c>
      <c r="N34" t="s">
        <v>38</v>
      </c>
      <c r="O34" t="s">
        <v>32</v>
      </c>
      <c r="P34" s="3">
        <v>40770</v>
      </c>
      <c r="Q34" s="7">
        <f t="shared" ca="1" si="1"/>
        <v>14.676712328767124</v>
      </c>
      <c r="R34" t="s">
        <v>103</v>
      </c>
      <c r="S34" t="s">
        <v>104</v>
      </c>
      <c r="T34">
        <v>17</v>
      </c>
      <c r="U34" t="s">
        <v>45</v>
      </c>
      <c r="V34">
        <v>0</v>
      </c>
      <c r="W34">
        <v>1</v>
      </c>
      <c r="X34">
        <v>19</v>
      </c>
    </row>
    <row r="35" spans="1:24" x14ac:dyDescent="0.3">
      <c r="A35" t="s">
        <v>105</v>
      </c>
      <c r="B35">
        <v>10107</v>
      </c>
      <c r="C35" t="s">
        <v>435</v>
      </c>
      <c r="D35">
        <v>1</v>
      </c>
      <c r="E35">
        <v>5</v>
      </c>
      <c r="F35">
        <v>3</v>
      </c>
      <c r="G35">
        <v>63763</v>
      </c>
      <c r="H35">
        <v>20</v>
      </c>
      <c r="I35" t="s">
        <v>37</v>
      </c>
      <c r="J35" t="s">
        <v>24</v>
      </c>
      <c r="K35">
        <v>2148</v>
      </c>
      <c r="L35" s="3">
        <v>29254</v>
      </c>
      <c r="M35" s="5">
        <f t="shared" ca="1" si="0"/>
        <v>46</v>
      </c>
      <c r="N35" t="s">
        <v>38</v>
      </c>
      <c r="O35" t="s">
        <v>26</v>
      </c>
      <c r="P35" s="3">
        <v>41032</v>
      </c>
      <c r="Q35" s="7">
        <f t="shared" ca="1" si="1"/>
        <v>13.95890410958904</v>
      </c>
      <c r="R35" t="s">
        <v>27</v>
      </c>
      <c r="S35" t="s">
        <v>47</v>
      </c>
      <c r="T35">
        <v>11</v>
      </c>
      <c r="U35" t="s">
        <v>55</v>
      </c>
      <c r="V35">
        <v>0</v>
      </c>
      <c r="W35">
        <v>0</v>
      </c>
      <c r="X35">
        <v>3</v>
      </c>
    </row>
    <row r="36" spans="1:24" x14ac:dyDescent="0.3">
      <c r="A36" t="s">
        <v>106</v>
      </c>
      <c r="B36">
        <v>10181</v>
      </c>
      <c r="C36" t="s">
        <v>436</v>
      </c>
      <c r="D36">
        <v>1</v>
      </c>
      <c r="E36">
        <v>5</v>
      </c>
      <c r="F36">
        <v>3</v>
      </c>
      <c r="G36">
        <v>62162</v>
      </c>
      <c r="H36">
        <v>20</v>
      </c>
      <c r="I36" t="s">
        <v>37</v>
      </c>
      <c r="J36" t="s">
        <v>24</v>
      </c>
      <c r="K36">
        <v>1890</v>
      </c>
      <c r="L36" s="3">
        <v>28376</v>
      </c>
      <c r="M36" s="5">
        <f t="shared" ca="1" si="0"/>
        <v>48</v>
      </c>
      <c r="N36" t="s">
        <v>25</v>
      </c>
      <c r="O36" t="s">
        <v>32</v>
      </c>
      <c r="P36" s="3">
        <v>40637</v>
      </c>
      <c r="Q36" s="7">
        <f t="shared" ca="1" si="1"/>
        <v>15.04109589041096</v>
      </c>
      <c r="R36" t="s">
        <v>27</v>
      </c>
      <c r="S36" t="s">
        <v>54</v>
      </c>
      <c r="T36">
        <v>19</v>
      </c>
      <c r="U36" t="s">
        <v>35</v>
      </c>
      <c r="V36">
        <v>0</v>
      </c>
      <c r="W36">
        <v>0</v>
      </c>
      <c r="X36">
        <v>15</v>
      </c>
    </row>
    <row r="37" spans="1:24" x14ac:dyDescent="0.3">
      <c r="A37" t="s">
        <v>107</v>
      </c>
      <c r="B37">
        <v>10150</v>
      </c>
      <c r="C37" t="s">
        <v>436</v>
      </c>
      <c r="D37">
        <v>1</v>
      </c>
      <c r="E37">
        <v>4</v>
      </c>
      <c r="F37">
        <v>3</v>
      </c>
      <c r="G37">
        <v>77692</v>
      </c>
      <c r="H37">
        <v>25</v>
      </c>
      <c r="I37" t="s">
        <v>108</v>
      </c>
      <c r="J37" t="s">
        <v>24</v>
      </c>
      <c r="K37">
        <v>2184</v>
      </c>
      <c r="L37" s="3">
        <v>24149</v>
      </c>
      <c r="M37" s="5">
        <f t="shared" ca="1" si="0"/>
        <v>60</v>
      </c>
      <c r="N37" t="s">
        <v>25</v>
      </c>
      <c r="O37" t="s">
        <v>26</v>
      </c>
      <c r="P37" s="3">
        <v>40770</v>
      </c>
      <c r="Q37" s="7">
        <f t="shared" ca="1" si="1"/>
        <v>14.676712328767124</v>
      </c>
      <c r="R37" t="s">
        <v>50</v>
      </c>
      <c r="S37" t="s">
        <v>109</v>
      </c>
      <c r="T37">
        <v>5</v>
      </c>
      <c r="U37" t="s">
        <v>45</v>
      </c>
      <c r="V37">
        <v>5</v>
      </c>
      <c r="W37">
        <v>0</v>
      </c>
      <c r="X37">
        <v>4</v>
      </c>
    </row>
    <row r="38" spans="1:24" x14ac:dyDescent="0.3">
      <c r="A38" t="s">
        <v>110</v>
      </c>
      <c r="B38">
        <v>10001</v>
      </c>
      <c r="C38" t="s">
        <v>436</v>
      </c>
      <c r="D38">
        <v>1</v>
      </c>
      <c r="E38">
        <v>5</v>
      </c>
      <c r="F38">
        <v>4</v>
      </c>
      <c r="G38">
        <v>72640</v>
      </c>
      <c r="H38">
        <v>18</v>
      </c>
      <c r="I38" t="s">
        <v>92</v>
      </c>
      <c r="J38" t="s">
        <v>24</v>
      </c>
      <c r="K38">
        <v>2169</v>
      </c>
      <c r="L38" s="3">
        <v>30567</v>
      </c>
      <c r="M38" s="5">
        <f t="shared" ca="1" si="0"/>
        <v>42</v>
      </c>
      <c r="N38" t="s">
        <v>25</v>
      </c>
      <c r="O38" t="s">
        <v>26</v>
      </c>
      <c r="P38" s="3">
        <v>42397</v>
      </c>
      <c r="Q38" s="7">
        <f t="shared" ca="1" si="1"/>
        <v>10.219178082191782</v>
      </c>
      <c r="R38" t="s">
        <v>27</v>
      </c>
      <c r="S38" t="s">
        <v>93</v>
      </c>
      <c r="T38">
        <v>2</v>
      </c>
      <c r="U38" t="s">
        <v>35</v>
      </c>
      <c r="V38">
        <v>0</v>
      </c>
      <c r="W38">
        <v>0</v>
      </c>
      <c r="X38">
        <v>14</v>
      </c>
    </row>
    <row r="39" spans="1:24" x14ac:dyDescent="0.3">
      <c r="A39" t="s">
        <v>111</v>
      </c>
      <c r="B39">
        <v>10085</v>
      </c>
      <c r="C39" t="s">
        <v>435</v>
      </c>
      <c r="D39">
        <v>1</v>
      </c>
      <c r="E39">
        <v>4</v>
      </c>
      <c r="F39">
        <v>3</v>
      </c>
      <c r="G39">
        <v>93396</v>
      </c>
      <c r="H39">
        <v>24</v>
      </c>
      <c r="I39" t="s">
        <v>49</v>
      </c>
      <c r="J39" t="s">
        <v>24</v>
      </c>
      <c r="K39">
        <v>2132</v>
      </c>
      <c r="L39" s="3">
        <v>31901</v>
      </c>
      <c r="M39" s="5">
        <f t="shared" ca="1" si="0"/>
        <v>38</v>
      </c>
      <c r="N39" t="s">
        <v>38</v>
      </c>
      <c r="O39" t="s">
        <v>26</v>
      </c>
      <c r="P39" s="3">
        <v>41589</v>
      </c>
      <c r="Q39" s="7">
        <f t="shared" ca="1" si="1"/>
        <v>12.432876712328767</v>
      </c>
      <c r="R39" t="s">
        <v>50</v>
      </c>
      <c r="S39" t="s">
        <v>51</v>
      </c>
      <c r="T39">
        <v>10</v>
      </c>
      <c r="U39" t="s">
        <v>35</v>
      </c>
      <c r="V39">
        <v>6</v>
      </c>
      <c r="W39">
        <v>0</v>
      </c>
      <c r="X39">
        <v>3</v>
      </c>
    </row>
    <row r="40" spans="1:24" x14ac:dyDescent="0.3">
      <c r="A40" t="s">
        <v>112</v>
      </c>
      <c r="B40">
        <v>10115</v>
      </c>
      <c r="C40" t="s">
        <v>436</v>
      </c>
      <c r="D40">
        <v>1</v>
      </c>
      <c r="E40">
        <v>5</v>
      </c>
      <c r="F40">
        <v>3</v>
      </c>
      <c r="G40">
        <v>52846</v>
      </c>
      <c r="H40">
        <v>19</v>
      </c>
      <c r="I40" t="s">
        <v>23</v>
      </c>
      <c r="J40" t="s">
        <v>24</v>
      </c>
      <c r="K40">
        <v>1701</v>
      </c>
      <c r="L40" s="3">
        <v>30349</v>
      </c>
      <c r="M40" s="5">
        <f t="shared" ca="1" si="0"/>
        <v>43</v>
      </c>
      <c r="N40" t="s">
        <v>25</v>
      </c>
      <c r="O40" t="s">
        <v>26</v>
      </c>
      <c r="P40" s="3">
        <v>41729</v>
      </c>
      <c r="Q40" s="7">
        <f t="shared" ca="1" si="1"/>
        <v>12.049315068493151</v>
      </c>
      <c r="R40" t="s">
        <v>27</v>
      </c>
      <c r="S40" t="s">
        <v>69</v>
      </c>
      <c r="T40">
        <v>18</v>
      </c>
      <c r="U40" t="s">
        <v>29</v>
      </c>
      <c r="V40">
        <v>0</v>
      </c>
      <c r="W40">
        <v>0</v>
      </c>
      <c r="X40">
        <v>14</v>
      </c>
    </row>
    <row r="41" spans="1:24" x14ac:dyDescent="0.3">
      <c r="A41" t="s">
        <v>113</v>
      </c>
      <c r="B41">
        <v>10082</v>
      </c>
      <c r="C41" t="s">
        <v>435</v>
      </c>
      <c r="D41">
        <v>2</v>
      </c>
      <c r="E41">
        <v>3</v>
      </c>
      <c r="F41">
        <v>3</v>
      </c>
      <c r="G41">
        <v>100031</v>
      </c>
      <c r="H41">
        <v>27</v>
      </c>
      <c r="I41" t="s">
        <v>31</v>
      </c>
      <c r="J41" t="s">
        <v>24</v>
      </c>
      <c r="K41">
        <v>1886</v>
      </c>
      <c r="L41" s="3">
        <v>31569</v>
      </c>
      <c r="M41" s="5">
        <f t="shared" ca="1" si="0"/>
        <v>39</v>
      </c>
      <c r="N41" t="s">
        <v>38</v>
      </c>
      <c r="O41" t="s">
        <v>26</v>
      </c>
      <c r="P41" s="3">
        <v>42551</v>
      </c>
      <c r="Q41" s="7">
        <f t="shared" ca="1" si="1"/>
        <v>9.7972602739726025</v>
      </c>
      <c r="R41" t="s">
        <v>33</v>
      </c>
      <c r="S41" t="s">
        <v>34</v>
      </c>
      <c r="T41">
        <v>4</v>
      </c>
      <c r="U41" t="s">
        <v>29</v>
      </c>
      <c r="V41">
        <v>6</v>
      </c>
      <c r="W41">
        <v>0</v>
      </c>
      <c r="X41">
        <v>7</v>
      </c>
    </row>
    <row r="42" spans="1:24" x14ac:dyDescent="0.3">
      <c r="A42" t="s">
        <v>114</v>
      </c>
      <c r="B42">
        <v>10040</v>
      </c>
      <c r="C42" t="s">
        <v>435</v>
      </c>
      <c r="D42">
        <v>1</v>
      </c>
      <c r="E42">
        <v>6</v>
      </c>
      <c r="F42">
        <v>3</v>
      </c>
      <c r="G42">
        <v>71860</v>
      </c>
      <c r="H42">
        <v>3</v>
      </c>
      <c r="I42" t="s">
        <v>101</v>
      </c>
      <c r="J42" t="s">
        <v>115</v>
      </c>
      <c r="K42">
        <v>5664</v>
      </c>
      <c r="L42" s="3">
        <v>23136</v>
      </c>
      <c r="M42" s="5">
        <f t="shared" ca="1" si="0"/>
        <v>62</v>
      </c>
      <c r="N42" t="s">
        <v>38</v>
      </c>
      <c r="O42" t="s">
        <v>26</v>
      </c>
      <c r="P42" s="3">
        <v>41869</v>
      </c>
      <c r="Q42" s="7">
        <f t="shared" ca="1" si="1"/>
        <v>11.665753424657535</v>
      </c>
      <c r="R42" t="s">
        <v>103</v>
      </c>
      <c r="S42" t="s">
        <v>104</v>
      </c>
      <c r="T42">
        <v>17</v>
      </c>
      <c r="U42" t="s">
        <v>35</v>
      </c>
      <c r="V42">
        <v>0</v>
      </c>
      <c r="W42">
        <v>0</v>
      </c>
      <c r="X42">
        <v>7</v>
      </c>
    </row>
    <row r="43" spans="1:24" x14ac:dyDescent="0.3">
      <c r="A43" t="s">
        <v>116</v>
      </c>
      <c r="B43">
        <v>10067</v>
      </c>
      <c r="C43" t="s">
        <v>435</v>
      </c>
      <c r="D43">
        <v>1</v>
      </c>
      <c r="E43">
        <v>5</v>
      </c>
      <c r="F43">
        <v>3</v>
      </c>
      <c r="G43">
        <v>61656</v>
      </c>
      <c r="H43">
        <v>19</v>
      </c>
      <c r="I43" t="s">
        <v>23</v>
      </c>
      <c r="J43" t="s">
        <v>24</v>
      </c>
      <c r="K43">
        <v>2763</v>
      </c>
      <c r="L43" s="3">
        <v>18660</v>
      </c>
      <c r="M43" s="5">
        <f t="shared" ca="1" si="0"/>
        <v>75</v>
      </c>
      <c r="N43" t="s">
        <v>38</v>
      </c>
      <c r="O43" t="s">
        <v>26</v>
      </c>
      <c r="P43" s="3">
        <v>41911</v>
      </c>
      <c r="Q43" s="7">
        <f t="shared" ca="1" si="1"/>
        <v>11.550684931506849</v>
      </c>
      <c r="R43" t="s">
        <v>27</v>
      </c>
      <c r="S43" t="s">
        <v>28</v>
      </c>
      <c r="T43">
        <v>22</v>
      </c>
      <c r="U43" t="s">
        <v>45</v>
      </c>
      <c r="V43">
        <v>0</v>
      </c>
      <c r="W43">
        <v>0</v>
      </c>
      <c r="X43">
        <v>11</v>
      </c>
    </row>
    <row r="44" spans="1:24" x14ac:dyDescent="0.3">
      <c r="A44" t="s">
        <v>117</v>
      </c>
      <c r="B44">
        <v>10108</v>
      </c>
      <c r="C44" t="s">
        <v>436</v>
      </c>
      <c r="D44">
        <v>1</v>
      </c>
      <c r="E44">
        <v>3</v>
      </c>
      <c r="F44">
        <v>3</v>
      </c>
      <c r="G44">
        <v>110929</v>
      </c>
      <c r="H44">
        <v>5</v>
      </c>
      <c r="I44" t="s">
        <v>118</v>
      </c>
      <c r="J44" t="s">
        <v>24</v>
      </c>
      <c r="K44">
        <v>2045</v>
      </c>
      <c r="L44" s="3">
        <v>26544</v>
      </c>
      <c r="M44" s="5">
        <f t="shared" ca="1" si="0"/>
        <v>53</v>
      </c>
      <c r="N44" t="s">
        <v>25</v>
      </c>
      <c r="O44" t="s">
        <v>32</v>
      </c>
      <c r="P44" s="3">
        <v>42530</v>
      </c>
      <c r="Q44" s="7">
        <f t="shared" ca="1" si="1"/>
        <v>9.8547945205479444</v>
      </c>
      <c r="R44" t="s">
        <v>33</v>
      </c>
      <c r="S44" t="s">
        <v>109</v>
      </c>
      <c r="T44">
        <v>5</v>
      </c>
      <c r="U44" t="s">
        <v>35</v>
      </c>
      <c r="V44">
        <v>7</v>
      </c>
      <c r="W44">
        <v>0</v>
      </c>
      <c r="X44">
        <v>8</v>
      </c>
    </row>
    <row r="45" spans="1:24" x14ac:dyDescent="0.3">
      <c r="A45" t="s">
        <v>119</v>
      </c>
      <c r="B45">
        <v>10210</v>
      </c>
      <c r="C45" t="s">
        <v>435</v>
      </c>
      <c r="D45">
        <v>1</v>
      </c>
      <c r="E45">
        <v>5</v>
      </c>
      <c r="F45">
        <v>3</v>
      </c>
      <c r="G45">
        <v>54237</v>
      </c>
      <c r="H45">
        <v>19</v>
      </c>
      <c r="I45" t="s">
        <v>23</v>
      </c>
      <c r="J45" t="s">
        <v>24</v>
      </c>
      <c r="K45">
        <v>2170</v>
      </c>
      <c r="L45" s="3">
        <v>29191</v>
      </c>
      <c r="M45" s="5">
        <f t="shared" ca="1" si="0"/>
        <v>46</v>
      </c>
      <c r="N45" t="s">
        <v>38</v>
      </c>
      <c r="O45" t="s">
        <v>26</v>
      </c>
      <c r="P45" s="3">
        <v>41978</v>
      </c>
      <c r="Q45" s="7">
        <f t="shared" ca="1" si="1"/>
        <v>11.367123287671232</v>
      </c>
      <c r="R45" t="s">
        <v>27</v>
      </c>
      <c r="S45" t="s">
        <v>41</v>
      </c>
      <c r="T45">
        <v>16</v>
      </c>
      <c r="U45" t="s">
        <v>35</v>
      </c>
      <c r="V45">
        <v>0</v>
      </c>
      <c r="W45">
        <v>0</v>
      </c>
      <c r="X45">
        <v>11</v>
      </c>
    </row>
    <row r="46" spans="1:24" x14ac:dyDescent="0.3">
      <c r="A46" t="s">
        <v>120</v>
      </c>
      <c r="B46">
        <v>10154</v>
      </c>
      <c r="C46" t="s">
        <v>436</v>
      </c>
      <c r="D46">
        <v>1</v>
      </c>
      <c r="E46">
        <v>5</v>
      </c>
      <c r="F46">
        <v>3</v>
      </c>
      <c r="G46">
        <v>60380</v>
      </c>
      <c r="H46">
        <v>19</v>
      </c>
      <c r="I46" t="s">
        <v>23</v>
      </c>
      <c r="J46" t="s">
        <v>24</v>
      </c>
      <c r="K46">
        <v>1845</v>
      </c>
      <c r="L46" s="3">
        <v>30414</v>
      </c>
      <c r="M46" s="5">
        <f t="shared" ca="1" si="0"/>
        <v>43</v>
      </c>
      <c r="N46" t="s">
        <v>25</v>
      </c>
      <c r="O46" t="s">
        <v>26</v>
      </c>
      <c r="P46" s="3">
        <v>41493</v>
      </c>
      <c r="Q46" s="7">
        <f t="shared" ca="1" si="1"/>
        <v>12.695890410958905</v>
      </c>
      <c r="R46" t="s">
        <v>27</v>
      </c>
      <c r="S46" t="s">
        <v>44</v>
      </c>
      <c r="U46" t="s">
        <v>29</v>
      </c>
      <c r="V46">
        <v>0</v>
      </c>
      <c r="W46">
        <v>0</v>
      </c>
      <c r="X46">
        <v>4</v>
      </c>
    </row>
    <row r="47" spans="1:24" x14ac:dyDescent="0.3">
      <c r="A47" t="s">
        <v>121</v>
      </c>
      <c r="B47">
        <v>10200</v>
      </c>
      <c r="C47" t="s">
        <v>436</v>
      </c>
      <c r="D47">
        <v>1</v>
      </c>
      <c r="E47">
        <v>6</v>
      </c>
      <c r="F47">
        <v>3</v>
      </c>
      <c r="G47">
        <v>66808</v>
      </c>
      <c r="H47">
        <v>3</v>
      </c>
      <c r="I47" t="s">
        <v>101</v>
      </c>
      <c r="J47" t="s">
        <v>67</v>
      </c>
      <c r="K47">
        <v>78207</v>
      </c>
      <c r="L47" s="3">
        <v>25878</v>
      </c>
      <c r="M47" s="5">
        <f t="shared" ca="1" si="0"/>
        <v>55</v>
      </c>
      <c r="N47" t="s">
        <v>25</v>
      </c>
      <c r="O47" t="s">
        <v>26</v>
      </c>
      <c r="P47" s="3">
        <v>41043</v>
      </c>
      <c r="Q47" s="7">
        <f t="shared" ca="1" si="1"/>
        <v>13.92876712328767</v>
      </c>
      <c r="R47" t="s">
        <v>103</v>
      </c>
      <c r="S47" t="s">
        <v>122</v>
      </c>
      <c r="T47">
        <v>21</v>
      </c>
      <c r="U47" t="s">
        <v>55</v>
      </c>
      <c r="V47">
        <v>0</v>
      </c>
      <c r="W47">
        <v>0</v>
      </c>
      <c r="X47">
        <v>17</v>
      </c>
    </row>
    <row r="48" spans="1:24" x14ac:dyDescent="0.3">
      <c r="A48" t="s">
        <v>123</v>
      </c>
      <c r="B48">
        <v>10240</v>
      </c>
      <c r="C48" t="s">
        <v>435</v>
      </c>
      <c r="D48">
        <v>5</v>
      </c>
      <c r="E48">
        <v>5</v>
      </c>
      <c r="F48">
        <v>3</v>
      </c>
      <c r="G48">
        <v>64786</v>
      </c>
      <c r="H48">
        <v>19</v>
      </c>
      <c r="I48" t="s">
        <v>23</v>
      </c>
      <c r="J48" t="s">
        <v>24</v>
      </c>
      <c r="K48">
        <v>1775</v>
      </c>
      <c r="L48" s="3">
        <v>30505</v>
      </c>
      <c r="M48" s="5">
        <f t="shared" ca="1" si="0"/>
        <v>42</v>
      </c>
      <c r="N48" t="s">
        <v>38</v>
      </c>
      <c r="O48" t="s">
        <v>26</v>
      </c>
      <c r="P48" s="3">
        <v>40721</v>
      </c>
      <c r="Q48" s="7">
        <f t="shared" ca="1" si="1"/>
        <v>14.810958904109588</v>
      </c>
      <c r="R48" t="s">
        <v>27</v>
      </c>
      <c r="S48" t="s">
        <v>47</v>
      </c>
      <c r="T48">
        <v>11</v>
      </c>
      <c r="U48" t="s">
        <v>35</v>
      </c>
      <c r="V48">
        <v>0</v>
      </c>
      <c r="W48">
        <v>0</v>
      </c>
      <c r="X48">
        <v>3</v>
      </c>
    </row>
    <row r="49" spans="1:24" x14ac:dyDescent="0.3">
      <c r="A49" t="s">
        <v>124</v>
      </c>
      <c r="B49">
        <v>10168</v>
      </c>
      <c r="C49" t="s">
        <v>435</v>
      </c>
      <c r="D49">
        <v>1</v>
      </c>
      <c r="E49">
        <v>5</v>
      </c>
      <c r="F49">
        <v>3</v>
      </c>
      <c r="G49">
        <v>64816</v>
      </c>
      <c r="H49">
        <v>19</v>
      </c>
      <c r="I49" t="s">
        <v>23</v>
      </c>
      <c r="J49" t="s">
        <v>24</v>
      </c>
      <c r="K49">
        <v>2044</v>
      </c>
      <c r="L49" s="3">
        <v>32452</v>
      </c>
      <c r="M49" s="5">
        <f t="shared" ca="1" si="0"/>
        <v>37</v>
      </c>
      <c r="N49" t="s">
        <v>38</v>
      </c>
      <c r="O49" t="s">
        <v>26</v>
      </c>
      <c r="P49" s="3">
        <v>40612</v>
      </c>
      <c r="Q49" s="7">
        <f t="shared" ca="1" si="1"/>
        <v>15.109589041095891</v>
      </c>
      <c r="R49" t="s">
        <v>27</v>
      </c>
      <c r="S49" t="s">
        <v>54</v>
      </c>
      <c r="T49">
        <v>19</v>
      </c>
      <c r="U49" t="s">
        <v>35</v>
      </c>
      <c r="V49">
        <v>0</v>
      </c>
      <c r="W49">
        <v>0</v>
      </c>
      <c r="X49">
        <v>3</v>
      </c>
    </row>
    <row r="50" spans="1:24" x14ac:dyDescent="0.3">
      <c r="A50" t="s">
        <v>125</v>
      </c>
      <c r="B50">
        <v>10220</v>
      </c>
      <c r="C50" t="s">
        <v>436</v>
      </c>
      <c r="D50">
        <v>1</v>
      </c>
      <c r="E50">
        <v>3</v>
      </c>
      <c r="F50">
        <v>3</v>
      </c>
      <c r="G50">
        <v>68678</v>
      </c>
      <c r="H50">
        <v>14</v>
      </c>
      <c r="I50" t="s">
        <v>60</v>
      </c>
      <c r="J50" t="s">
        <v>24</v>
      </c>
      <c r="K50">
        <v>2170</v>
      </c>
      <c r="L50" s="3">
        <v>31176</v>
      </c>
      <c r="M50" s="5">
        <f t="shared" ca="1" si="0"/>
        <v>40</v>
      </c>
      <c r="N50" t="s">
        <v>25</v>
      </c>
      <c r="O50" t="s">
        <v>26</v>
      </c>
      <c r="P50" s="3">
        <v>41038</v>
      </c>
      <c r="Q50" s="7">
        <f t="shared" ca="1" si="1"/>
        <v>13.942465753424658</v>
      </c>
      <c r="R50" t="s">
        <v>33</v>
      </c>
      <c r="S50" t="s">
        <v>126</v>
      </c>
      <c r="T50">
        <v>6</v>
      </c>
      <c r="U50" t="s">
        <v>35</v>
      </c>
      <c r="V50">
        <v>6</v>
      </c>
      <c r="W50">
        <v>0</v>
      </c>
      <c r="X50">
        <v>2</v>
      </c>
    </row>
    <row r="51" spans="1:24" x14ac:dyDescent="0.3">
      <c r="A51" t="s">
        <v>127</v>
      </c>
      <c r="B51">
        <v>10275</v>
      </c>
      <c r="C51" t="s">
        <v>435</v>
      </c>
      <c r="D51">
        <v>5</v>
      </c>
      <c r="E51">
        <v>5</v>
      </c>
      <c r="F51">
        <v>3</v>
      </c>
      <c r="G51">
        <v>64066</v>
      </c>
      <c r="H51">
        <v>20</v>
      </c>
      <c r="I51" t="s">
        <v>37</v>
      </c>
      <c r="J51" t="s">
        <v>24</v>
      </c>
      <c r="K51">
        <v>1752</v>
      </c>
      <c r="L51" s="3">
        <v>29898</v>
      </c>
      <c r="M51" s="5">
        <f t="shared" ca="1" si="0"/>
        <v>44</v>
      </c>
      <c r="N51" t="s">
        <v>38</v>
      </c>
      <c r="O51" t="s">
        <v>32</v>
      </c>
      <c r="P51" s="3">
        <v>40679</v>
      </c>
      <c r="Q51" s="7">
        <f t="shared" ca="1" si="1"/>
        <v>14.926027397260274</v>
      </c>
      <c r="R51" t="s">
        <v>27</v>
      </c>
      <c r="S51" t="s">
        <v>57</v>
      </c>
      <c r="T51">
        <v>12</v>
      </c>
      <c r="U51" t="s">
        <v>45</v>
      </c>
      <c r="V51">
        <v>0</v>
      </c>
      <c r="W51">
        <v>0</v>
      </c>
      <c r="X51">
        <v>9</v>
      </c>
    </row>
    <row r="52" spans="1:24" x14ac:dyDescent="0.3">
      <c r="A52" t="s">
        <v>128</v>
      </c>
      <c r="B52">
        <v>10269</v>
      </c>
      <c r="C52" t="s">
        <v>436</v>
      </c>
      <c r="D52">
        <v>5</v>
      </c>
      <c r="E52">
        <v>5</v>
      </c>
      <c r="F52">
        <v>3</v>
      </c>
      <c r="G52">
        <v>59369</v>
      </c>
      <c r="H52">
        <v>20</v>
      </c>
      <c r="I52" t="s">
        <v>37</v>
      </c>
      <c r="J52" t="s">
        <v>24</v>
      </c>
      <c r="K52">
        <v>2169</v>
      </c>
      <c r="L52" s="3">
        <v>28621</v>
      </c>
      <c r="M52" s="5">
        <f t="shared" ca="1" si="0"/>
        <v>47</v>
      </c>
      <c r="N52" t="s">
        <v>25</v>
      </c>
      <c r="O52" t="s">
        <v>32</v>
      </c>
      <c r="P52" s="3">
        <v>40420</v>
      </c>
      <c r="Q52" s="7">
        <f t="shared" ca="1" si="1"/>
        <v>15.635616438356164</v>
      </c>
      <c r="R52" t="s">
        <v>27</v>
      </c>
      <c r="S52" t="s">
        <v>63</v>
      </c>
      <c r="T52">
        <v>14</v>
      </c>
      <c r="U52" t="s">
        <v>35</v>
      </c>
      <c r="V52">
        <v>0</v>
      </c>
      <c r="W52">
        <v>0</v>
      </c>
      <c r="X52">
        <v>6</v>
      </c>
    </row>
    <row r="53" spans="1:24" x14ac:dyDescent="0.3">
      <c r="A53" t="s">
        <v>129</v>
      </c>
      <c r="B53">
        <v>10029</v>
      </c>
      <c r="C53" t="s">
        <v>436</v>
      </c>
      <c r="D53">
        <v>2</v>
      </c>
      <c r="E53">
        <v>5</v>
      </c>
      <c r="F53">
        <v>4</v>
      </c>
      <c r="G53">
        <v>50373</v>
      </c>
      <c r="H53">
        <v>19</v>
      </c>
      <c r="I53" t="s">
        <v>23</v>
      </c>
      <c r="J53" t="s">
        <v>24</v>
      </c>
      <c r="K53">
        <v>2134</v>
      </c>
      <c r="L53" s="3">
        <v>29380</v>
      </c>
      <c r="M53" s="5">
        <f t="shared" ca="1" si="0"/>
        <v>45</v>
      </c>
      <c r="N53" t="s">
        <v>25</v>
      </c>
      <c r="O53" t="s">
        <v>32</v>
      </c>
      <c r="P53" s="3">
        <v>42528</v>
      </c>
      <c r="Q53" s="7">
        <f t="shared" ca="1" si="1"/>
        <v>9.8602739726027391</v>
      </c>
      <c r="R53" t="s">
        <v>27</v>
      </c>
      <c r="S53" t="s">
        <v>57</v>
      </c>
      <c r="T53">
        <v>12</v>
      </c>
      <c r="U53" t="s">
        <v>55</v>
      </c>
      <c r="V53">
        <v>0</v>
      </c>
      <c r="W53">
        <v>0</v>
      </c>
      <c r="X53">
        <v>5</v>
      </c>
    </row>
    <row r="54" spans="1:24" x14ac:dyDescent="0.3">
      <c r="A54" t="s">
        <v>130</v>
      </c>
      <c r="B54">
        <v>10261</v>
      </c>
      <c r="C54" t="s">
        <v>436</v>
      </c>
      <c r="D54">
        <v>1</v>
      </c>
      <c r="E54">
        <v>5</v>
      </c>
      <c r="F54">
        <v>3</v>
      </c>
      <c r="G54">
        <v>63108</v>
      </c>
      <c r="H54">
        <v>19</v>
      </c>
      <c r="I54" t="s">
        <v>23</v>
      </c>
      <c r="J54" t="s">
        <v>24</v>
      </c>
      <c r="K54">
        <v>2452</v>
      </c>
      <c r="L54" s="3">
        <v>28346</v>
      </c>
      <c r="M54" s="5">
        <f t="shared" ca="1" si="0"/>
        <v>48</v>
      </c>
      <c r="N54" t="s">
        <v>25</v>
      </c>
      <c r="O54" t="s">
        <v>26</v>
      </c>
      <c r="P54" s="3">
        <v>41493</v>
      </c>
      <c r="Q54" s="7">
        <f t="shared" ca="1" si="1"/>
        <v>12.695890410958905</v>
      </c>
      <c r="R54" t="s">
        <v>27</v>
      </c>
      <c r="S54" t="s">
        <v>63</v>
      </c>
      <c r="T54">
        <v>14</v>
      </c>
      <c r="U54" t="s">
        <v>55</v>
      </c>
      <c r="V54">
        <v>0</v>
      </c>
      <c r="W54">
        <v>0</v>
      </c>
      <c r="X54">
        <v>3</v>
      </c>
    </row>
    <row r="55" spans="1:24" x14ac:dyDescent="0.3">
      <c r="A55" t="s">
        <v>131</v>
      </c>
      <c r="B55">
        <v>10292</v>
      </c>
      <c r="C55" t="s">
        <v>436</v>
      </c>
      <c r="D55">
        <v>4</v>
      </c>
      <c r="E55">
        <v>5</v>
      </c>
      <c r="F55">
        <v>2</v>
      </c>
      <c r="G55">
        <v>59144</v>
      </c>
      <c r="H55">
        <v>19</v>
      </c>
      <c r="I55" t="s">
        <v>23</v>
      </c>
      <c r="J55" t="s">
        <v>24</v>
      </c>
      <c r="K55">
        <v>1880</v>
      </c>
      <c r="L55" s="3">
        <v>29197</v>
      </c>
      <c r="M55" s="5">
        <f t="shared" ca="1" si="0"/>
        <v>46</v>
      </c>
      <c r="N55" t="s">
        <v>25</v>
      </c>
      <c r="O55" t="s">
        <v>26</v>
      </c>
      <c r="P55" s="3">
        <v>40854</v>
      </c>
      <c r="Q55" s="7">
        <f t="shared" ca="1" si="1"/>
        <v>14.446575342465753</v>
      </c>
      <c r="R55" t="s">
        <v>27</v>
      </c>
      <c r="S55" t="s">
        <v>39</v>
      </c>
      <c r="T55">
        <v>20</v>
      </c>
      <c r="U55" t="s">
        <v>29</v>
      </c>
      <c r="V55">
        <v>0</v>
      </c>
      <c r="W55">
        <v>5</v>
      </c>
      <c r="X55">
        <v>16</v>
      </c>
    </row>
    <row r="56" spans="1:24" x14ac:dyDescent="0.3">
      <c r="A56" t="s">
        <v>132</v>
      </c>
      <c r="B56">
        <v>10282</v>
      </c>
      <c r="C56" t="s">
        <v>436</v>
      </c>
      <c r="D56">
        <v>1</v>
      </c>
      <c r="E56">
        <v>5</v>
      </c>
      <c r="F56">
        <v>2</v>
      </c>
      <c r="G56">
        <v>68051</v>
      </c>
      <c r="H56">
        <v>18</v>
      </c>
      <c r="I56" t="s">
        <v>92</v>
      </c>
      <c r="J56" t="s">
        <v>24</v>
      </c>
      <c r="K56">
        <v>1803</v>
      </c>
      <c r="L56" s="3">
        <v>27587</v>
      </c>
      <c r="M56" s="5">
        <f t="shared" ca="1" si="0"/>
        <v>50</v>
      </c>
      <c r="N56" t="s">
        <v>25</v>
      </c>
      <c r="O56" t="s">
        <v>43</v>
      </c>
      <c r="P56" s="3">
        <v>40379</v>
      </c>
      <c r="Q56" s="7">
        <f t="shared" ca="1" si="1"/>
        <v>15.747945205479452</v>
      </c>
      <c r="R56" t="s">
        <v>27</v>
      </c>
      <c r="S56" t="s">
        <v>93</v>
      </c>
      <c r="T56">
        <v>2</v>
      </c>
      <c r="U56" t="s">
        <v>82</v>
      </c>
      <c r="V56">
        <v>0</v>
      </c>
      <c r="W56">
        <v>3</v>
      </c>
      <c r="X56">
        <v>3</v>
      </c>
    </row>
    <row r="57" spans="1:24" x14ac:dyDescent="0.3">
      <c r="A57" t="s">
        <v>133</v>
      </c>
      <c r="B57">
        <v>10019</v>
      </c>
      <c r="C57" t="s">
        <v>436</v>
      </c>
      <c r="D57">
        <v>1</v>
      </c>
      <c r="E57">
        <v>5</v>
      </c>
      <c r="F57">
        <v>4</v>
      </c>
      <c r="G57">
        <v>170500</v>
      </c>
      <c r="H57">
        <v>10</v>
      </c>
      <c r="I57" t="s">
        <v>134</v>
      </c>
      <c r="J57" t="s">
        <v>24</v>
      </c>
      <c r="K57">
        <v>2030</v>
      </c>
      <c r="L57" s="3">
        <v>30562</v>
      </c>
      <c r="M57" s="5">
        <f t="shared" ca="1" si="0"/>
        <v>42</v>
      </c>
      <c r="N57" t="s">
        <v>25</v>
      </c>
      <c r="O57" t="s">
        <v>26</v>
      </c>
      <c r="P57" s="3">
        <v>39934</v>
      </c>
      <c r="Q57" s="7">
        <f t="shared" ca="1" si="1"/>
        <v>16.967123287671232</v>
      </c>
      <c r="R57" t="s">
        <v>27</v>
      </c>
      <c r="S57" t="s">
        <v>93</v>
      </c>
      <c r="T57">
        <v>2</v>
      </c>
      <c r="U57" t="s">
        <v>35</v>
      </c>
      <c r="V57">
        <v>0</v>
      </c>
      <c r="W57">
        <v>0</v>
      </c>
      <c r="X57">
        <v>15</v>
      </c>
    </row>
    <row r="58" spans="1:24" x14ac:dyDescent="0.3">
      <c r="A58" t="s">
        <v>135</v>
      </c>
      <c r="B58">
        <v>10094</v>
      </c>
      <c r="C58" t="s">
        <v>435</v>
      </c>
      <c r="D58">
        <v>1</v>
      </c>
      <c r="E58">
        <v>5</v>
      </c>
      <c r="F58">
        <v>3</v>
      </c>
      <c r="G58">
        <v>63381</v>
      </c>
      <c r="H58">
        <v>19</v>
      </c>
      <c r="I58" t="s">
        <v>23</v>
      </c>
      <c r="J58" t="s">
        <v>24</v>
      </c>
      <c r="K58">
        <v>2189</v>
      </c>
      <c r="L58" s="3">
        <v>28432</v>
      </c>
      <c r="M58" s="5">
        <f t="shared" ca="1" si="0"/>
        <v>48</v>
      </c>
      <c r="N58" t="s">
        <v>38</v>
      </c>
      <c r="O58" t="s">
        <v>32</v>
      </c>
      <c r="P58" s="3">
        <v>42125</v>
      </c>
      <c r="Q58" s="7">
        <f t="shared" ca="1" si="1"/>
        <v>10.964383561643835</v>
      </c>
      <c r="R58" t="s">
        <v>27</v>
      </c>
      <c r="S58" t="s">
        <v>69</v>
      </c>
      <c r="T58">
        <v>18</v>
      </c>
      <c r="U58" t="s">
        <v>35</v>
      </c>
      <c r="V58">
        <v>0</v>
      </c>
      <c r="W58">
        <v>0</v>
      </c>
      <c r="X58">
        <v>6</v>
      </c>
    </row>
    <row r="59" spans="1:24" x14ac:dyDescent="0.3">
      <c r="A59" t="s">
        <v>136</v>
      </c>
      <c r="B59">
        <v>10193</v>
      </c>
      <c r="C59" t="s">
        <v>436</v>
      </c>
      <c r="D59">
        <v>1</v>
      </c>
      <c r="E59">
        <v>3</v>
      </c>
      <c r="F59">
        <v>3</v>
      </c>
      <c r="G59">
        <v>83552</v>
      </c>
      <c r="H59">
        <v>9</v>
      </c>
      <c r="I59" t="s">
        <v>66</v>
      </c>
      <c r="J59" t="s">
        <v>24</v>
      </c>
      <c r="K59">
        <v>1810</v>
      </c>
      <c r="L59" s="3">
        <v>31571</v>
      </c>
      <c r="M59" s="5">
        <f t="shared" ca="1" si="0"/>
        <v>39</v>
      </c>
      <c r="N59" t="s">
        <v>25</v>
      </c>
      <c r="O59" t="s">
        <v>32</v>
      </c>
      <c r="P59" s="3">
        <v>42093</v>
      </c>
      <c r="Q59" s="7">
        <f t="shared" ca="1" si="1"/>
        <v>11.052054794520547</v>
      </c>
      <c r="R59" t="s">
        <v>33</v>
      </c>
      <c r="S59" t="s">
        <v>34</v>
      </c>
      <c r="T59">
        <v>4</v>
      </c>
      <c r="U59" t="s">
        <v>35</v>
      </c>
      <c r="V59">
        <v>6</v>
      </c>
      <c r="W59">
        <v>0</v>
      </c>
      <c r="X59">
        <v>2</v>
      </c>
    </row>
    <row r="60" spans="1:24" x14ac:dyDescent="0.3">
      <c r="A60" t="s">
        <v>137</v>
      </c>
      <c r="B60">
        <v>10132</v>
      </c>
      <c r="C60" t="s">
        <v>435</v>
      </c>
      <c r="D60">
        <v>2</v>
      </c>
      <c r="E60">
        <v>5</v>
      </c>
      <c r="F60">
        <v>3</v>
      </c>
      <c r="G60">
        <v>56149</v>
      </c>
      <c r="H60">
        <v>19</v>
      </c>
      <c r="I60" t="s">
        <v>23</v>
      </c>
      <c r="J60" t="s">
        <v>24</v>
      </c>
      <c r="K60">
        <v>1821</v>
      </c>
      <c r="L60" s="3">
        <v>32054</v>
      </c>
      <c r="M60" s="5">
        <f t="shared" ca="1" si="0"/>
        <v>38</v>
      </c>
      <c r="N60" t="s">
        <v>38</v>
      </c>
      <c r="O60" t="s">
        <v>26</v>
      </c>
      <c r="P60" s="3">
        <v>42528</v>
      </c>
      <c r="Q60" s="7">
        <f t="shared" ca="1" si="1"/>
        <v>9.8602739726027391</v>
      </c>
      <c r="R60" t="s">
        <v>27</v>
      </c>
      <c r="S60" t="s">
        <v>28</v>
      </c>
      <c r="T60">
        <v>22</v>
      </c>
      <c r="U60" t="s">
        <v>29</v>
      </c>
      <c r="V60">
        <v>0</v>
      </c>
      <c r="W60">
        <v>0</v>
      </c>
      <c r="X60">
        <v>15</v>
      </c>
    </row>
    <row r="61" spans="1:24" x14ac:dyDescent="0.3">
      <c r="A61" t="s">
        <v>138</v>
      </c>
      <c r="B61">
        <v>10083</v>
      </c>
      <c r="C61" t="s">
        <v>436</v>
      </c>
      <c r="D61">
        <v>1</v>
      </c>
      <c r="E61">
        <v>3</v>
      </c>
      <c r="F61">
        <v>3</v>
      </c>
      <c r="G61">
        <v>92329</v>
      </c>
      <c r="H61">
        <v>28</v>
      </c>
      <c r="I61" t="s">
        <v>139</v>
      </c>
      <c r="J61" t="s">
        <v>86</v>
      </c>
      <c r="K61">
        <v>6278</v>
      </c>
      <c r="L61" s="3">
        <v>23994</v>
      </c>
      <c r="M61" s="5">
        <f t="shared" ca="1" si="0"/>
        <v>60</v>
      </c>
      <c r="N61" t="s">
        <v>25</v>
      </c>
      <c r="O61" t="s">
        <v>26</v>
      </c>
      <c r="P61" s="3">
        <v>41923</v>
      </c>
      <c r="Q61" s="7">
        <f t="shared" ca="1" si="1"/>
        <v>11.517808219178082</v>
      </c>
      <c r="R61" t="s">
        <v>33</v>
      </c>
      <c r="S61" t="s">
        <v>61</v>
      </c>
      <c r="T61">
        <v>7</v>
      </c>
      <c r="U61" t="s">
        <v>55</v>
      </c>
      <c r="V61">
        <v>4</v>
      </c>
      <c r="W61">
        <v>0</v>
      </c>
      <c r="X61">
        <v>5</v>
      </c>
    </row>
    <row r="62" spans="1:24" x14ac:dyDescent="0.3">
      <c r="A62" t="s">
        <v>140</v>
      </c>
      <c r="B62">
        <v>10099</v>
      </c>
      <c r="C62" t="s">
        <v>435</v>
      </c>
      <c r="D62">
        <v>1</v>
      </c>
      <c r="E62">
        <v>6</v>
      </c>
      <c r="F62">
        <v>3</v>
      </c>
      <c r="G62">
        <v>65729</v>
      </c>
      <c r="H62">
        <v>21</v>
      </c>
      <c r="I62" t="s">
        <v>141</v>
      </c>
      <c r="J62" t="s">
        <v>115</v>
      </c>
      <c r="K62">
        <v>5473</v>
      </c>
      <c r="L62" s="3">
        <v>33120</v>
      </c>
      <c r="M62" s="5">
        <f t="shared" ca="1" si="0"/>
        <v>35</v>
      </c>
      <c r="N62" t="s">
        <v>38</v>
      </c>
      <c r="O62" t="s">
        <v>26</v>
      </c>
      <c r="P62" s="3">
        <v>41764</v>
      </c>
      <c r="Q62" s="7">
        <f t="shared" ca="1" si="1"/>
        <v>11.953424657534246</v>
      </c>
      <c r="R62" t="s">
        <v>103</v>
      </c>
      <c r="S62" t="s">
        <v>142</v>
      </c>
      <c r="T62">
        <v>15</v>
      </c>
      <c r="U62" t="s">
        <v>35</v>
      </c>
      <c r="V62">
        <v>0</v>
      </c>
      <c r="W62">
        <v>0</v>
      </c>
      <c r="X62">
        <v>8</v>
      </c>
    </row>
    <row r="63" spans="1:24" x14ac:dyDescent="0.3">
      <c r="A63" t="s">
        <v>143</v>
      </c>
      <c r="B63">
        <v>10212</v>
      </c>
      <c r="C63" t="s">
        <v>435</v>
      </c>
      <c r="D63">
        <v>3</v>
      </c>
      <c r="E63">
        <v>3</v>
      </c>
      <c r="F63">
        <v>3</v>
      </c>
      <c r="G63">
        <v>85028</v>
      </c>
      <c r="H63">
        <v>28</v>
      </c>
      <c r="I63" t="s">
        <v>139</v>
      </c>
      <c r="J63" t="s">
        <v>86</v>
      </c>
      <c r="K63">
        <v>6033</v>
      </c>
      <c r="L63" s="3">
        <v>19207</v>
      </c>
      <c r="M63" s="5">
        <f t="shared" ca="1" si="0"/>
        <v>73</v>
      </c>
      <c r="N63" t="s">
        <v>38</v>
      </c>
      <c r="O63" t="s">
        <v>32</v>
      </c>
      <c r="P63" s="3">
        <v>41923</v>
      </c>
      <c r="Q63" s="7">
        <f t="shared" ca="1" si="1"/>
        <v>11.517808219178082</v>
      </c>
      <c r="R63" t="s">
        <v>33</v>
      </c>
      <c r="S63" t="s">
        <v>61</v>
      </c>
      <c r="T63">
        <v>7</v>
      </c>
      <c r="U63" t="s">
        <v>29</v>
      </c>
      <c r="V63">
        <v>8</v>
      </c>
      <c r="W63">
        <v>0</v>
      </c>
      <c r="X63">
        <v>19</v>
      </c>
    </row>
    <row r="64" spans="1:24" x14ac:dyDescent="0.3">
      <c r="A64" t="s">
        <v>144</v>
      </c>
      <c r="B64">
        <v>10056</v>
      </c>
      <c r="C64" t="s">
        <v>435</v>
      </c>
      <c r="D64">
        <v>1</v>
      </c>
      <c r="E64">
        <v>5</v>
      </c>
      <c r="F64">
        <v>3</v>
      </c>
      <c r="G64">
        <v>57583</v>
      </c>
      <c r="H64">
        <v>19</v>
      </c>
      <c r="I64" t="s">
        <v>23</v>
      </c>
      <c r="J64" t="s">
        <v>24</v>
      </c>
      <c r="K64">
        <v>2110</v>
      </c>
      <c r="L64" s="3">
        <v>28621</v>
      </c>
      <c r="M64" s="5">
        <f t="shared" ca="1" si="0"/>
        <v>47</v>
      </c>
      <c r="N64" t="s">
        <v>38</v>
      </c>
      <c r="O64" t="s">
        <v>32</v>
      </c>
      <c r="P64" s="3">
        <v>40946</v>
      </c>
      <c r="Q64" s="7">
        <f t="shared" ca="1" si="1"/>
        <v>14.194520547945206</v>
      </c>
      <c r="R64" t="s">
        <v>27</v>
      </c>
      <c r="S64" t="s">
        <v>41</v>
      </c>
      <c r="T64">
        <v>16</v>
      </c>
      <c r="U64" t="s">
        <v>35</v>
      </c>
      <c r="V64">
        <v>0</v>
      </c>
      <c r="W64">
        <v>0</v>
      </c>
      <c r="X64">
        <v>1</v>
      </c>
    </row>
    <row r="65" spans="1:24" x14ac:dyDescent="0.3">
      <c r="A65" t="s">
        <v>145</v>
      </c>
      <c r="B65">
        <v>10143</v>
      </c>
      <c r="C65" t="s">
        <v>436</v>
      </c>
      <c r="D65">
        <v>1</v>
      </c>
      <c r="E65">
        <v>5</v>
      </c>
      <c r="F65">
        <v>3</v>
      </c>
      <c r="G65">
        <v>56294</v>
      </c>
      <c r="H65">
        <v>20</v>
      </c>
      <c r="I65" t="s">
        <v>37</v>
      </c>
      <c r="J65" t="s">
        <v>24</v>
      </c>
      <c r="K65">
        <v>2458</v>
      </c>
      <c r="L65" s="3">
        <v>28954</v>
      </c>
      <c r="M65" s="5">
        <f t="shared" ca="1" si="0"/>
        <v>47</v>
      </c>
      <c r="N65" t="s">
        <v>25</v>
      </c>
      <c r="O65" t="s">
        <v>26</v>
      </c>
      <c r="P65" s="3">
        <v>40735</v>
      </c>
      <c r="Q65" s="7">
        <f t="shared" ca="1" si="1"/>
        <v>14.772602739726027</v>
      </c>
      <c r="R65" t="s">
        <v>27</v>
      </c>
      <c r="S65" t="s">
        <v>39</v>
      </c>
      <c r="T65">
        <v>20</v>
      </c>
      <c r="U65" t="s">
        <v>29</v>
      </c>
      <c r="V65">
        <v>0</v>
      </c>
      <c r="W65">
        <v>0</v>
      </c>
      <c r="X65">
        <v>6</v>
      </c>
    </row>
    <row r="66" spans="1:24" x14ac:dyDescent="0.3">
      <c r="A66" t="s">
        <v>146</v>
      </c>
      <c r="B66">
        <v>10311</v>
      </c>
      <c r="C66" t="s">
        <v>436</v>
      </c>
      <c r="D66">
        <v>1</v>
      </c>
      <c r="E66">
        <v>6</v>
      </c>
      <c r="F66">
        <v>1</v>
      </c>
      <c r="G66">
        <v>56991</v>
      </c>
      <c r="H66">
        <v>19</v>
      </c>
      <c r="I66" t="s">
        <v>23</v>
      </c>
      <c r="J66" t="s">
        <v>24</v>
      </c>
      <c r="K66">
        <v>2138</v>
      </c>
      <c r="L66" s="3">
        <v>32267</v>
      </c>
      <c r="M66" s="5">
        <f t="shared" ca="1" si="0"/>
        <v>37</v>
      </c>
      <c r="N66" t="s">
        <v>25</v>
      </c>
      <c r="O66" t="s">
        <v>32</v>
      </c>
      <c r="P66" s="3">
        <v>43350</v>
      </c>
      <c r="Q66" s="7">
        <f t="shared" ca="1" si="1"/>
        <v>7.6082191780821917</v>
      </c>
      <c r="R66" t="s">
        <v>27</v>
      </c>
      <c r="S66" t="s">
        <v>57</v>
      </c>
      <c r="T66">
        <v>12</v>
      </c>
      <c r="U66" t="s">
        <v>35</v>
      </c>
      <c r="V66">
        <v>3</v>
      </c>
      <c r="W66">
        <v>2</v>
      </c>
      <c r="X66">
        <v>2</v>
      </c>
    </row>
    <row r="67" spans="1:24" x14ac:dyDescent="0.3">
      <c r="A67" t="s">
        <v>147</v>
      </c>
      <c r="B67">
        <v>10070</v>
      </c>
      <c r="C67" t="s">
        <v>436</v>
      </c>
      <c r="D67">
        <v>5</v>
      </c>
      <c r="E67">
        <v>5</v>
      </c>
      <c r="F67">
        <v>3</v>
      </c>
      <c r="G67">
        <v>55722</v>
      </c>
      <c r="H67">
        <v>19</v>
      </c>
      <c r="I67" t="s">
        <v>23</v>
      </c>
      <c r="J67" t="s">
        <v>24</v>
      </c>
      <c r="K67">
        <v>1810</v>
      </c>
      <c r="L67" s="3">
        <v>28439</v>
      </c>
      <c r="M67" s="5">
        <f t="shared" ref="M67:M130" ca="1" si="2">DATEDIF(L67,TODAY(),"Y")</f>
        <v>48</v>
      </c>
      <c r="N67" t="s">
        <v>25</v>
      </c>
      <c r="O67" t="s">
        <v>32</v>
      </c>
      <c r="P67" s="3">
        <v>40679</v>
      </c>
      <c r="Q67" s="7">
        <f t="shared" ref="Q67:Q130" ca="1" si="3">(TODAY()-P67)/365</f>
        <v>14.926027397260274</v>
      </c>
      <c r="R67" t="s">
        <v>27</v>
      </c>
      <c r="S67" t="s">
        <v>44</v>
      </c>
      <c r="T67">
        <v>39</v>
      </c>
      <c r="U67" t="s">
        <v>35</v>
      </c>
      <c r="V67">
        <v>0</v>
      </c>
      <c r="W67">
        <v>0</v>
      </c>
      <c r="X67">
        <v>14</v>
      </c>
    </row>
    <row r="68" spans="1:24" x14ac:dyDescent="0.3">
      <c r="A68" t="s">
        <v>148</v>
      </c>
      <c r="B68">
        <v>10155</v>
      </c>
      <c r="C68" t="s">
        <v>435</v>
      </c>
      <c r="D68">
        <v>1</v>
      </c>
      <c r="E68">
        <v>4</v>
      </c>
      <c r="F68">
        <v>3</v>
      </c>
      <c r="G68">
        <v>101199</v>
      </c>
      <c r="H68">
        <v>24</v>
      </c>
      <c r="I68" t="s">
        <v>49</v>
      </c>
      <c r="J68" t="s">
        <v>24</v>
      </c>
      <c r="K68">
        <v>2176</v>
      </c>
      <c r="L68" s="3">
        <v>28982</v>
      </c>
      <c r="M68" s="5">
        <f t="shared" ca="1" si="2"/>
        <v>46</v>
      </c>
      <c r="N68" t="s">
        <v>38</v>
      </c>
      <c r="O68" t="s">
        <v>26</v>
      </c>
      <c r="P68" s="3">
        <v>41153</v>
      </c>
      <c r="Q68" s="7">
        <f t="shared" ca="1" si="3"/>
        <v>13.627397260273973</v>
      </c>
      <c r="R68" t="s">
        <v>50</v>
      </c>
      <c r="S68" t="s">
        <v>51</v>
      </c>
      <c r="T68">
        <v>10</v>
      </c>
      <c r="U68" t="s">
        <v>82</v>
      </c>
      <c r="V68">
        <v>5</v>
      </c>
      <c r="W68">
        <v>0</v>
      </c>
      <c r="X68">
        <v>8</v>
      </c>
    </row>
    <row r="69" spans="1:24" x14ac:dyDescent="0.3">
      <c r="A69" t="s">
        <v>149</v>
      </c>
      <c r="B69">
        <v>10306</v>
      </c>
      <c r="C69" t="s">
        <v>436</v>
      </c>
      <c r="D69">
        <v>1</v>
      </c>
      <c r="E69">
        <v>6</v>
      </c>
      <c r="F69">
        <v>1</v>
      </c>
      <c r="G69">
        <v>61568</v>
      </c>
      <c r="H69">
        <v>3</v>
      </c>
      <c r="I69" t="s">
        <v>101</v>
      </c>
      <c r="J69" t="s">
        <v>150</v>
      </c>
      <c r="K69">
        <v>36006</v>
      </c>
      <c r="L69" s="3">
        <v>27436</v>
      </c>
      <c r="M69" s="5">
        <f t="shared" ca="1" si="2"/>
        <v>51</v>
      </c>
      <c r="N69" t="s">
        <v>25</v>
      </c>
      <c r="O69" t="s">
        <v>26</v>
      </c>
      <c r="P69" s="3">
        <v>41911</v>
      </c>
      <c r="Q69" s="7">
        <f t="shared" ca="1" si="3"/>
        <v>11.550684931506849</v>
      </c>
      <c r="R69" t="s">
        <v>103</v>
      </c>
      <c r="S69" t="s">
        <v>104</v>
      </c>
      <c r="T69">
        <v>17</v>
      </c>
      <c r="U69" t="s">
        <v>35</v>
      </c>
      <c r="V69">
        <v>0</v>
      </c>
      <c r="W69">
        <v>6</v>
      </c>
      <c r="X69">
        <v>5</v>
      </c>
    </row>
    <row r="70" spans="1:24" x14ac:dyDescent="0.3">
      <c r="A70" t="s">
        <v>151</v>
      </c>
      <c r="B70">
        <v>10100</v>
      </c>
      <c r="C70" t="s">
        <v>435</v>
      </c>
      <c r="D70">
        <v>5</v>
      </c>
      <c r="E70">
        <v>5</v>
      </c>
      <c r="F70">
        <v>3</v>
      </c>
      <c r="G70">
        <v>58275</v>
      </c>
      <c r="H70">
        <v>20</v>
      </c>
      <c r="I70" t="s">
        <v>37</v>
      </c>
      <c r="J70" t="s">
        <v>24</v>
      </c>
      <c r="K70">
        <v>2343</v>
      </c>
      <c r="L70" s="3">
        <v>18750</v>
      </c>
      <c r="M70" s="5">
        <f t="shared" ca="1" si="2"/>
        <v>74</v>
      </c>
      <c r="N70" t="s">
        <v>38</v>
      </c>
      <c r="O70" t="s">
        <v>99</v>
      </c>
      <c r="P70" s="3">
        <v>40637</v>
      </c>
      <c r="Q70" s="7">
        <f t="shared" ca="1" si="3"/>
        <v>15.04109589041096</v>
      </c>
      <c r="R70" t="s">
        <v>27</v>
      </c>
      <c r="S70" t="s">
        <v>69</v>
      </c>
      <c r="T70">
        <v>18</v>
      </c>
      <c r="U70" t="s">
        <v>45</v>
      </c>
      <c r="V70">
        <v>0</v>
      </c>
      <c r="W70">
        <v>0</v>
      </c>
      <c r="X70">
        <v>1</v>
      </c>
    </row>
    <row r="71" spans="1:24" x14ac:dyDescent="0.3">
      <c r="A71" t="s">
        <v>152</v>
      </c>
      <c r="B71">
        <v>10310</v>
      </c>
      <c r="C71" t="s">
        <v>436</v>
      </c>
      <c r="D71">
        <v>1</v>
      </c>
      <c r="E71">
        <v>5</v>
      </c>
      <c r="F71">
        <v>1</v>
      </c>
      <c r="G71">
        <v>53189</v>
      </c>
      <c r="H71">
        <v>19</v>
      </c>
      <c r="I71" t="s">
        <v>23</v>
      </c>
      <c r="J71" t="s">
        <v>24</v>
      </c>
      <c r="K71">
        <v>2061</v>
      </c>
      <c r="L71" s="3">
        <v>24719</v>
      </c>
      <c r="M71" s="5">
        <f t="shared" ca="1" si="2"/>
        <v>58</v>
      </c>
      <c r="N71" t="s">
        <v>25</v>
      </c>
      <c r="O71" t="s">
        <v>32</v>
      </c>
      <c r="P71" s="3">
        <v>41827</v>
      </c>
      <c r="Q71" s="7">
        <f t="shared" ca="1" si="3"/>
        <v>11.780821917808218</v>
      </c>
      <c r="R71" t="s">
        <v>27</v>
      </c>
      <c r="S71" t="s">
        <v>47</v>
      </c>
      <c r="T71">
        <v>11</v>
      </c>
      <c r="U71" t="s">
        <v>35</v>
      </c>
      <c r="V71">
        <v>0</v>
      </c>
      <c r="W71">
        <v>4</v>
      </c>
      <c r="X71">
        <v>9</v>
      </c>
    </row>
    <row r="72" spans="1:24" x14ac:dyDescent="0.3">
      <c r="A72" t="s">
        <v>153</v>
      </c>
      <c r="B72">
        <v>10197</v>
      </c>
      <c r="C72" t="s">
        <v>436</v>
      </c>
      <c r="D72">
        <v>1</v>
      </c>
      <c r="E72">
        <v>3</v>
      </c>
      <c r="F72">
        <v>3</v>
      </c>
      <c r="G72">
        <v>96820</v>
      </c>
      <c r="H72">
        <v>4</v>
      </c>
      <c r="I72" t="s">
        <v>154</v>
      </c>
      <c r="J72" t="s">
        <v>24</v>
      </c>
      <c r="K72">
        <v>2045</v>
      </c>
      <c r="L72" s="3">
        <v>30415</v>
      </c>
      <c r="M72" s="5">
        <f t="shared" ca="1" si="2"/>
        <v>43</v>
      </c>
      <c r="N72" t="s">
        <v>25</v>
      </c>
      <c r="O72" t="s">
        <v>26</v>
      </c>
      <c r="P72" s="3">
        <v>42781</v>
      </c>
      <c r="Q72" s="7">
        <f t="shared" ca="1" si="3"/>
        <v>9.1671232876712327</v>
      </c>
      <c r="R72" t="s">
        <v>33</v>
      </c>
      <c r="S72" t="s">
        <v>155</v>
      </c>
      <c r="T72">
        <v>13</v>
      </c>
      <c r="U72" t="s">
        <v>35</v>
      </c>
      <c r="V72">
        <v>7</v>
      </c>
      <c r="W72">
        <v>0</v>
      </c>
      <c r="X72">
        <v>15</v>
      </c>
    </row>
    <row r="73" spans="1:24" x14ac:dyDescent="0.3">
      <c r="A73" t="s">
        <v>156</v>
      </c>
      <c r="B73">
        <v>10276</v>
      </c>
      <c r="C73" t="s">
        <v>436</v>
      </c>
      <c r="D73">
        <v>1</v>
      </c>
      <c r="E73">
        <v>5</v>
      </c>
      <c r="F73">
        <v>3</v>
      </c>
      <c r="G73">
        <v>51259</v>
      </c>
      <c r="H73">
        <v>19</v>
      </c>
      <c r="I73" t="s">
        <v>23</v>
      </c>
      <c r="J73" t="s">
        <v>24</v>
      </c>
      <c r="K73">
        <v>2180</v>
      </c>
      <c r="L73" s="3">
        <v>30082</v>
      </c>
      <c r="M73" s="5">
        <f t="shared" ca="1" si="2"/>
        <v>43</v>
      </c>
      <c r="N73" t="s">
        <v>25</v>
      </c>
      <c r="O73" t="s">
        <v>26</v>
      </c>
      <c r="P73" s="3">
        <v>41978</v>
      </c>
      <c r="Q73" s="7">
        <f t="shared" ca="1" si="3"/>
        <v>11.367123287671232</v>
      </c>
      <c r="R73" t="s">
        <v>27</v>
      </c>
      <c r="S73" t="s">
        <v>54</v>
      </c>
      <c r="T73">
        <v>19</v>
      </c>
      <c r="U73" t="s">
        <v>35</v>
      </c>
      <c r="V73">
        <v>0</v>
      </c>
      <c r="W73">
        <v>0</v>
      </c>
      <c r="X73">
        <v>1</v>
      </c>
    </row>
    <row r="74" spans="1:24" x14ac:dyDescent="0.3">
      <c r="A74" t="s">
        <v>157</v>
      </c>
      <c r="B74">
        <v>10304</v>
      </c>
      <c r="C74" t="s">
        <v>435</v>
      </c>
      <c r="D74">
        <v>1</v>
      </c>
      <c r="E74">
        <v>6</v>
      </c>
      <c r="F74">
        <v>1</v>
      </c>
      <c r="G74">
        <v>59231</v>
      </c>
      <c r="H74">
        <v>3</v>
      </c>
      <c r="I74" t="s">
        <v>101</v>
      </c>
      <c r="J74" t="s">
        <v>158</v>
      </c>
      <c r="K74">
        <v>98052</v>
      </c>
      <c r="L74" s="3">
        <v>31872</v>
      </c>
      <c r="M74" s="5">
        <f t="shared" ca="1" si="2"/>
        <v>39</v>
      </c>
      <c r="N74" t="s">
        <v>38</v>
      </c>
      <c r="O74" t="s">
        <v>26</v>
      </c>
      <c r="P74" s="3">
        <v>40959</v>
      </c>
      <c r="Q74" s="7">
        <f t="shared" ca="1" si="3"/>
        <v>14.158904109589042</v>
      </c>
      <c r="R74" t="s">
        <v>103</v>
      </c>
      <c r="S74" t="s">
        <v>104</v>
      </c>
      <c r="T74">
        <v>17</v>
      </c>
      <c r="U74" t="s">
        <v>159</v>
      </c>
      <c r="V74">
        <v>0</v>
      </c>
      <c r="W74">
        <v>2</v>
      </c>
      <c r="X74">
        <v>17</v>
      </c>
    </row>
    <row r="75" spans="1:24" x14ac:dyDescent="0.3">
      <c r="A75" t="s">
        <v>160</v>
      </c>
      <c r="B75">
        <v>10284</v>
      </c>
      <c r="C75" t="s">
        <v>435</v>
      </c>
      <c r="D75">
        <v>1</v>
      </c>
      <c r="E75">
        <v>5</v>
      </c>
      <c r="F75">
        <v>2</v>
      </c>
      <c r="G75">
        <v>61584</v>
      </c>
      <c r="H75">
        <v>19</v>
      </c>
      <c r="I75" t="s">
        <v>23</v>
      </c>
      <c r="J75" t="s">
        <v>24</v>
      </c>
      <c r="K75">
        <v>2351</v>
      </c>
      <c r="L75" s="3">
        <v>28533</v>
      </c>
      <c r="M75" s="5">
        <f t="shared" ca="1" si="2"/>
        <v>48</v>
      </c>
      <c r="N75" t="s">
        <v>38</v>
      </c>
      <c r="O75" t="s">
        <v>32</v>
      </c>
      <c r="P75" s="3">
        <v>41456</v>
      </c>
      <c r="Q75" s="7">
        <f t="shared" ca="1" si="3"/>
        <v>12.797260273972602</v>
      </c>
      <c r="R75" t="s">
        <v>27</v>
      </c>
      <c r="S75" t="s">
        <v>57</v>
      </c>
      <c r="T75">
        <v>12</v>
      </c>
      <c r="U75" t="s">
        <v>35</v>
      </c>
      <c r="V75">
        <v>0</v>
      </c>
      <c r="W75">
        <v>0</v>
      </c>
      <c r="X75">
        <v>6</v>
      </c>
    </row>
    <row r="76" spans="1:24" x14ac:dyDescent="0.3">
      <c r="A76" t="s">
        <v>161</v>
      </c>
      <c r="B76">
        <v>10207</v>
      </c>
      <c r="C76" t="s">
        <v>435</v>
      </c>
      <c r="D76">
        <v>1</v>
      </c>
      <c r="E76">
        <v>5</v>
      </c>
      <c r="F76">
        <v>3</v>
      </c>
      <c r="G76">
        <v>46335</v>
      </c>
      <c r="H76">
        <v>19</v>
      </c>
      <c r="I76" t="s">
        <v>23</v>
      </c>
      <c r="J76" t="s">
        <v>24</v>
      </c>
      <c r="K76">
        <v>2125</v>
      </c>
      <c r="L76" s="3">
        <v>31603</v>
      </c>
      <c r="M76" s="5">
        <f t="shared" ca="1" si="2"/>
        <v>39</v>
      </c>
      <c r="N76" t="s">
        <v>38</v>
      </c>
      <c r="O76" t="s">
        <v>26</v>
      </c>
      <c r="P76" s="3">
        <v>40943</v>
      </c>
      <c r="Q76" s="7">
        <f t="shared" ca="1" si="3"/>
        <v>14.202739726027398</v>
      </c>
      <c r="R76" t="s">
        <v>27</v>
      </c>
      <c r="S76" t="s">
        <v>63</v>
      </c>
      <c r="T76">
        <v>14</v>
      </c>
      <c r="U76" t="s">
        <v>82</v>
      </c>
      <c r="V76">
        <v>0</v>
      </c>
      <c r="W76">
        <v>0</v>
      </c>
      <c r="X76">
        <v>15</v>
      </c>
    </row>
    <row r="77" spans="1:24" x14ac:dyDescent="0.3">
      <c r="A77" t="s">
        <v>162</v>
      </c>
      <c r="B77">
        <v>10133</v>
      </c>
      <c r="C77" t="s">
        <v>435</v>
      </c>
      <c r="D77">
        <v>1</v>
      </c>
      <c r="E77">
        <v>3</v>
      </c>
      <c r="F77">
        <v>3</v>
      </c>
      <c r="G77">
        <v>70621</v>
      </c>
      <c r="H77">
        <v>14</v>
      </c>
      <c r="I77" t="s">
        <v>60</v>
      </c>
      <c r="J77" t="s">
        <v>24</v>
      </c>
      <c r="K77">
        <v>2119</v>
      </c>
      <c r="L77" s="3">
        <v>32362</v>
      </c>
      <c r="M77" s="5">
        <f t="shared" ca="1" si="2"/>
        <v>37</v>
      </c>
      <c r="N77" t="s">
        <v>38</v>
      </c>
      <c r="O77" t="s">
        <v>32</v>
      </c>
      <c r="P77" s="3">
        <v>42125</v>
      </c>
      <c r="Q77" s="7">
        <f t="shared" ca="1" si="3"/>
        <v>10.964383561643835</v>
      </c>
      <c r="R77" t="s">
        <v>33</v>
      </c>
      <c r="S77" t="s">
        <v>61</v>
      </c>
      <c r="T77">
        <v>7</v>
      </c>
      <c r="U77" t="s">
        <v>55</v>
      </c>
      <c r="V77">
        <v>6</v>
      </c>
      <c r="W77">
        <v>0</v>
      </c>
      <c r="X77">
        <v>16</v>
      </c>
    </row>
    <row r="78" spans="1:24" x14ac:dyDescent="0.3">
      <c r="A78" t="s">
        <v>163</v>
      </c>
      <c r="B78">
        <v>10028</v>
      </c>
      <c r="C78" t="s">
        <v>436</v>
      </c>
      <c r="D78">
        <v>1</v>
      </c>
      <c r="E78">
        <v>3</v>
      </c>
      <c r="F78">
        <v>4</v>
      </c>
      <c r="G78">
        <v>138888</v>
      </c>
      <c r="H78">
        <v>13</v>
      </c>
      <c r="I78" t="s">
        <v>164</v>
      </c>
      <c r="J78" t="s">
        <v>24</v>
      </c>
      <c r="K78">
        <v>1886</v>
      </c>
      <c r="L78" s="3">
        <v>25818</v>
      </c>
      <c r="M78" s="5">
        <f t="shared" ca="1" si="2"/>
        <v>55</v>
      </c>
      <c r="N78" t="s">
        <v>25</v>
      </c>
      <c r="O78" t="s">
        <v>26</v>
      </c>
      <c r="P78" s="3">
        <v>41760</v>
      </c>
      <c r="Q78" s="7">
        <f t="shared" ca="1" si="3"/>
        <v>11.964383561643835</v>
      </c>
      <c r="R78" t="s">
        <v>33</v>
      </c>
      <c r="S78" t="s">
        <v>109</v>
      </c>
      <c r="T78">
        <v>5</v>
      </c>
      <c r="U78" t="s">
        <v>35</v>
      </c>
      <c r="V78">
        <v>5</v>
      </c>
      <c r="W78">
        <v>0</v>
      </c>
      <c r="X78">
        <v>4</v>
      </c>
    </row>
    <row r="79" spans="1:24" x14ac:dyDescent="0.3">
      <c r="A79" t="s">
        <v>165</v>
      </c>
      <c r="B79">
        <v>10006</v>
      </c>
      <c r="C79" t="s">
        <v>435</v>
      </c>
      <c r="D79">
        <v>1</v>
      </c>
      <c r="E79">
        <v>6</v>
      </c>
      <c r="F79">
        <v>4</v>
      </c>
      <c r="G79">
        <v>74241</v>
      </c>
      <c r="H79">
        <v>3</v>
      </c>
      <c r="I79" t="s">
        <v>101</v>
      </c>
      <c r="J79" t="s">
        <v>166</v>
      </c>
      <c r="K79">
        <v>90007</v>
      </c>
      <c r="L79" s="3">
        <v>32366</v>
      </c>
      <c r="M79" s="5">
        <f t="shared" ca="1" si="2"/>
        <v>37</v>
      </c>
      <c r="N79" t="s">
        <v>38</v>
      </c>
      <c r="O79" t="s">
        <v>26</v>
      </c>
      <c r="P79" s="3">
        <v>40817</v>
      </c>
      <c r="Q79" s="7">
        <f t="shared" ca="1" si="3"/>
        <v>14.547945205479452</v>
      </c>
      <c r="R79" t="s">
        <v>103</v>
      </c>
      <c r="S79" t="s">
        <v>122</v>
      </c>
      <c r="T79">
        <v>21</v>
      </c>
      <c r="U79" t="s">
        <v>35</v>
      </c>
      <c r="V79">
        <v>0</v>
      </c>
      <c r="W79">
        <v>0</v>
      </c>
      <c r="X79">
        <v>14</v>
      </c>
    </row>
    <row r="80" spans="1:24" x14ac:dyDescent="0.3">
      <c r="A80" t="s">
        <v>167</v>
      </c>
      <c r="B80">
        <v>10105</v>
      </c>
      <c r="C80" t="s">
        <v>435</v>
      </c>
      <c r="D80">
        <v>1</v>
      </c>
      <c r="E80">
        <v>5</v>
      </c>
      <c r="F80">
        <v>3</v>
      </c>
      <c r="G80">
        <v>75188</v>
      </c>
      <c r="H80">
        <v>18</v>
      </c>
      <c r="I80" t="s">
        <v>92</v>
      </c>
      <c r="J80" t="s">
        <v>24</v>
      </c>
      <c r="K80">
        <v>1731</v>
      </c>
      <c r="L80" s="3">
        <v>26887</v>
      </c>
      <c r="M80" s="5">
        <f t="shared" ca="1" si="2"/>
        <v>52</v>
      </c>
      <c r="N80" t="s">
        <v>38</v>
      </c>
      <c r="O80" t="s">
        <v>26</v>
      </c>
      <c r="P80" s="3">
        <v>41900</v>
      </c>
      <c r="Q80" s="7">
        <f t="shared" ca="1" si="3"/>
        <v>11.580821917808219</v>
      </c>
      <c r="R80" t="s">
        <v>27</v>
      </c>
      <c r="S80" t="s">
        <v>93</v>
      </c>
      <c r="T80">
        <v>2</v>
      </c>
      <c r="U80" t="s">
        <v>45</v>
      </c>
      <c r="V80">
        <v>0</v>
      </c>
      <c r="W80">
        <v>0</v>
      </c>
      <c r="X80">
        <v>4</v>
      </c>
    </row>
    <row r="81" spans="1:24" x14ac:dyDescent="0.3">
      <c r="A81" t="s">
        <v>168</v>
      </c>
      <c r="B81">
        <v>10211</v>
      </c>
      <c r="C81" t="s">
        <v>435</v>
      </c>
      <c r="D81">
        <v>1</v>
      </c>
      <c r="E81">
        <v>5</v>
      </c>
      <c r="F81">
        <v>3</v>
      </c>
      <c r="G81">
        <v>62514</v>
      </c>
      <c r="H81">
        <v>19</v>
      </c>
      <c r="I81" t="s">
        <v>23</v>
      </c>
      <c r="J81" t="s">
        <v>24</v>
      </c>
      <c r="K81">
        <v>1749</v>
      </c>
      <c r="L81" s="3">
        <v>26732</v>
      </c>
      <c r="M81" s="5">
        <f t="shared" ca="1" si="2"/>
        <v>53</v>
      </c>
      <c r="N81" t="s">
        <v>38</v>
      </c>
      <c r="O81" t="s">
        <v>32</v>
      </c>
      <c r="P81" s="3">
        <v>40294</v>
      </c>
      <c r="Q81" s="7">
        <f t="shared" ca="1" si="3"/>
        <v>15.980821917808219</v>
      </c>
      <c r="R81" t="s">
        <v>27</v>
      </c>
      <c r="S81" t="s">
        <v>54</v>
      </c>
      <c r="T81">
        <v>19</v>
      </c>
      <c r="U81" t="s">
        <v>45</v>
      </c>
      <c r="V81">
        <v>0</v>
      </c>
      <c r="W81">
        <v>0</v>
      </c>
      <c r="X81">
        <v>6</v>
      </c>
    </row>
    <row r="82" spans="1:24" x14ac:dyDescent="0.3">
      <c r="A82" t="s">
        <v>169</v>
      </c>
      <c r="B82">
        <v>10064</v>
      </c>
      <c r="C82" t="s">
        <v>435</v>
      </c>
      <c r="D82">
        <v>5</v>
      </c>
      <c r="E82">
        <v>5</v>
      </c>
      <c r="F82">
        <v>3</v>
      </c>
      <c r="G82">
        <v>60070</v>
      </c>
      <c r="H82">
        <v>19</v>
      </c>
      <c r="I82" t="s">
        <v>23</v>
      </c>
      <c r="J82" t="s">
        <v>24</v>
      </c>
      <c r="K82">
        <v>2343</v>
      </c>
      <c r="L82" s="3">
        <v>33367</v>
      </c>
      <c r="M82" s="5">
        <f t="shared" ca="1" si="2"/>
        <v>34</v>
      </c>
      <c r="N82" t="s">
        <v>38</v>
      </c>
      <c r="O82" t="s">
        <v>32</v>
      </c>
      <c r="P82" s="3">
        <v>40637</v>
      </c>
      <c r="Q82" s="7">
        <f t="shared" ca="1" si="3"/>
        <v>15.04109589041096</v>
      </c>
      <c r="R82" t="s">
        <v>27</v>
      </c>
      <c r="S82" t="s">
        <v>39</v>
      </c>
      <c r="T82">
        <v>20</v>
      </c>
      <c r="U82" t="s">
        <v>45</v>
      </c>
      <c r="V82">
        <v>0</v>
      </c>
      <c r="W82">
        <v>0</v>
      </c>
      <c r="X82">
        <v>7</v>
      </c>
    </row>
    <row r="83" spans="1:24" x14ac:dyDescent="0.3">
      <c r="A83" t="s">
        <v>170</v>
      </c>
      <c r="B83">
        <v>10247</v>
      </c>
      <c r="C83" t="s">
        <v>436</v>
      </c>
      <c r="D83">
        <v>1</v>
      </c>
      <c r="E83">
        <v>5</v>
      </c>
      <c r="F83">
        <v>3</v>
      </c>
      <c r="G83">
        <v>48888</v>
      </c>
      <c r="H83">
        <v>19</v>
      </c>
      <c r="I83" t="s">
        <v>23</v>
      </c>
      <c r="J83" t="s">
        <v>24</v>
      </c>
      <c r="K83">
        <v>2026</v>
      </c>
      <c r="L83" s="3">
        <v>27338</v>
      </c>
      <c r="M83" s="5">
        <f t="shared" ca="1" si="2"/>
        <v>51</v>
      </c>
      <c r="N83" t="s">
        <v>25</v>
      </c>
      <c r="O83" t="s">
        <v>26</v>
      </c>
      <c r="P83" s="3">
        <v>41923</v>
      </c>
      <c r="Q83" s="7">
        <f t="shared" ca="1" si="3"/>
        <v>11.517808219178082</v>
      </c>
      <c r="R83" t="s">
        <v>27</v>
      </c>
      <c r="S83" t="s">
        <v>69</v>
      </c>
      <c r="T83">
        <v>18</v>
      </c>
      <c r="U83" t="s">
        <v>29</v>
      </c>
      <c r="V83">
        <v>0</v>
      </c>
      <c r="W83">
        <v>0</v>
      </c>
      <c r="X83">
        <v>8</v>
      </c>
    </row>
    <row r="84" spans="1:24" x14ac:dyDescent="0.3">
      <c r="A84" t="s">
        <v>171</v>
      </c>
      <c r="B84">
        <v>10235</v>
      </c>
      <c r="C84" t="s">
        <v>436</v>
      </c>
      <c r="D84">
        <v>1</v>
      </c>
      <c r="E84">
        <v>5</v>
      </c>
      <c r="F84">
        <v>3</v>
      </c>
      <c r="G84">
        <v>54285</v>
      </c>
      <c r="H84">
        <v>19</v>
      </c>
      <c r="I84" t="s">
        <v>23</v>
      </c>
      <c r="J84" t="s">
        <v>24</v>
      </c>
      <c r="K84">
        <v>2045</v>
      </c>
      <c r="L84" s="3">
        <v>28618</v>
      </c>
      <c r="M84" s="5">
        <f t="shared" ca="1" si="2"/>
        <v>47</v>
      </c>
      <c r="N84" t="s">
        <v>25</v>
      </c>
      <c r="O84" t="s">
        <v>32</v>
      </c>
      <c r="P84" s="3">
        <v>41729</v>
      </c>
      <c r="Q84" s="7">
        <f t="shared" ca="1" si="3"/>
        <v>12.049315068493151</v>
      </c>
      <c r="R84" t="s">
        <v>27</v>
      </c>
      <c r="S84" t="s">
        <v>69</v>
      </c>
      <c r="T84">
        <v>18</v>
      </c>
      <c r="U84" t="s">
        <v>55</v>
      </c>
      <c r="V84">
        <v>0</v>
      </c>
      <c r="W84">
        <v>0</v>
      </c>
      <c r="X84">
        <v>3</v>
      </c>
    </row>
    <row r="85" spans="1:24" x14ac:dyDescent="0.3">
      <c r="A85" t="s">
        <v>172</v>
      </c>
      <c r="B85">
        <v>10299</v>
      </c>
      <c r="C85" t="s">
        <v>435</v>
      </c>
      <c r="D85">
        <v>1</v>
      </c>
      <c r="E85">
        <v>5</v>
      </c>
      <c r="F85">
        <v>1</v>
      </c>
      <c r="G85">
        <v>56847</v>
      </c>
      <c r="H85">
        <v>20</v>
      </c>
      <c r="I85" t="s">
        <v>37</v>
      </c>
      <c r="J85" t="s">
        <v>24</v>
      </c>
      <c r="K85">
        <v>2133</v>
      </c>
      <c r="L85" s="3">
        <v>32636</v>
      </c>
      <c r="M85" s="5">
        <f t="shared" ca="1" si="2"/>
        <v>36</v>
      </c>
      <c r="N85" t="s">
        <v>38</v>
      </c>
      <c r="O85" t="s">
        <v>99</v>
      </c>
      <c r="P85" s="3">
        <v>41827</v>
      </c>
      <c r="Q85" s="7">
        <f t="shared" ca="1" si="3"/>
        <v>11.780821917808218</v>
      </c>
      <c r="R85" t="s">
        <v>27</v>
      </c>
      <c r="S85" t="s">
        <v>28</v>
      </c>
      <c r="T85">
        <v>22</v>
      </c>
      <c r="U85" t="s">
        <v>35</v>
      </c>
      <c r="V85">
        <v>0</v>
      </c>
      <c r="W85">
        <v>2</v>
      </c>
      <c r="X85">
        <v>5</v>
      </c>
    </row>
    <row r="86" spans="1:24" x14ac:dyDescent="0.3">
      <c r="A86" t="s">
        <v>173</v>
      </c>
      <c r="B86">
        <v>10280</v>
      </c>
      <c r="C86" t="s">
        <v>436</v>
      </c>
      <c r="D86">
        <v>4</v>
      </c>
      <c r="E86">
        <v>5</v>
      </c>
      <c r="F86">
        <v>2</v>
      </c>
      <c r="G86">
        <v>60340</v>
      </c>
      <c r="H86">
        <v>19</v>
      </c>
      <c r="I86" t="s">
        <v>23</v>
      </c>
      <c r="J86" t="s">
        <v>24</v>
      </c>
      <c r="K86">
        <v>2129</v>
      </c>
      <c r="L86" s="3">
        <v>30356</v>
      </c>
      <c r="M86" s="5">
        <f t="shared" ca="1" si="2"/>
        <v>43</v>
      </c>
      <c r="N86" t="s">
        <v>25</v>
      </c>
      <c r="O86" t="s">
        <v>26</v>
      </c>
      <c r="P86" s="3">
        <v>40943</v>
      </c>
      <c r="Q86" s="7">
        <f t="shared" ca="1" si="3"/>
        <v>14.202739726027398</v>
      </c>
      <c r="R86" t="s">
        <v>27</v>
      </c>
      <c r="S86" t="s">
        <v>28</v>
      </c>
      <c r="T86">
        <v>22</v>
      </c>
      <c r="U86" t="s">
        <v>45</v>
      </c>
      <c r="V86">
        <v>0</v>
      </c>
      <c r="W86">
        <v>5</v>
      </c>
      <c r="X86">
        <v>16</v>
      </c>
    </row>
    <row r="87" spans="1:24" x14ac:dyDescent="0.3">
      <c r="A87" t="s">
        <v>174</v>
      </c>
      <c r="B87">
        <v>10296</v>
      </c>
      <c r="C87" t="s">
        <v>435</v>
      </c>
      <c r="D87">
        <v>4</v>
      </c>
      <c r="E87">
        <v>5</v>
      </c>
      <c r="F87">
        <v>2</v>
      </c>
      <c r="G87">
        <v>59124</v>
      </c>
      <c r="H87">
        <v>19</v>
      </c>
      <c r="I87" t="s">
        <v>23</v>
      </c>
      <c r="J87" t="s">
        <v>24</v>
      </c>
      <c r="K87">
        <v>2458</v>
      </c>
      <c r="L87" s="3">
        <v>32664</v>
      </c>
      <c r="M87" s="5">
        <f t="shared" ca="1" si="2"/>
        <v>36</v>
      </c>
      <c r="N87" t="s">
        <v>38</v>
      </c>
      <c r="O87" t="s">
        <v>26</v>
      </c>
      <c r="P87" s="3">
        <v>41687</v>
      </c>
      <c r="Q87" s="7">
        <f t="shared" ca="1" si="3"/>
        <v>12.164383561643836</v>
      </c>
      <c r="R87" t="s">
        <v>27</v>
      </c>
      <c r="S87" t="s">
        <v>41</v>
      </c>
      <c r="T87">
        <v>16</v>
      </c>
      <c r="U87" t="s">
        <v>45</v>
      </c>
      <c r="V87">
        <v>0</v>
      </c>
      <c r="W87">
        <v>5</v>
      </c>
      <c r="X87">
        <v>19</v>
      </c>
    </row>
    <row r="88" spans="1:24" x14ac:dyDescent="0.3">
      <c r="A88" t="s">
        <v>175</v>
      </c>
      <c r="B88">
        <v>10290</v>
      </c>
      <c r="C88" t="s">
        <v>435</v>
      </c>
      <c r="D88">
        <v>4</v>
      </c>
      <c r="E88">
        <v>4</v>
      </c>
      <c r="F88">
        <v>2</v>
      </c>
      <c r="G88">
        <v>99280</v>
      </c>
      <c r="H88">
        <v>24</v>
      </c>
      <c r="I88" t="s">
        <v>49</v>
      </c>
      <c r="J88" t="s">
        <v>24</v>
      </c>
      <c r="K88">
        <v>1749</v>
      </c>
      <c r="L88" s="3">
        <v>31902</v>
      </c>
      <c r="M88" s="5">
        <f t="shared" ca="1" si="2"/>
        <v>38</v>
      </c>
      <c r="N88" t="s">
        <v>38</v>
      </c>
      <c r="O88" t="s">
        <v>32</v>
      </c>
      <c r="P88" s="3">
        <v>40579</v>
      </c>
      <c r="Q88" s="7">
        <f t="shared" ca="1" si="3"/>
        <v>15.2</v>
      </c>
      <c r="R88" t="s">
        <v>50</v>
      </c>
      <c r="S88" t="s">
        <v>51</v>
      </c>
      <c r="T88">
        <v>10</v>
      </c>
      <c r="U88" t="s">
        <v>35</v>
      </c>
      <c r="V88">
        <v>4</v>
      </c>
      <c r="W88">
        <v>4</v>
      </c>
      <c r="X88">
        <v>19</v>
      </c>
    </row>
    <row r="89" spans="1:24" x14ac:dyDescent="0.3">
      <c r="A89" t="s">
        <v>176</v>
      </c>
      <c r="B89">
        <v>10263</v>
      </c>
      <c r="C89" t="s">
        <v>435</v>
      </c>
      <c r="D89">
        <v>1</v>
      </c>
      <c r="E89">
        <v>5</v>
      </c>
      <c r="F89">
        <v>3</v>
      </c>
      <c r="G89">
        <v>71776</v>
      </c>
      <c r="H89">
        <v>20</v>
      </c>
      <c r="I89" t="s">
        <v>37</v>
      </c>
      <c r="J89" t="s">
        <v>24</v>
      </c>
      <c r="K89">
        <v>1824</v>
      </c>
      <c r="L89" s="3">
        <v>28833</v>
      </c>
      <c r="M89" s="5">
        <f t="shared" ca="1" si="2"/>
        <v>47</v>
      </c>
      <c r="N89" t="s">
        <v>38</v>
      </c>
      <c r="O89" t="s">
        <v>32</v>
      </c>
      <c r="P89" s="3">
        <v>41827</v>
      </c>
      <c r="Q89" s="7">
        <f t="shared" ca="1" si="3"/>
        <v>11.780821917808218</v>
      </c>
      <c r="R89" t="s">
        <v>27</v>
      </c>
      <c r="S89" t="s">
        <v>41</v>
      </c>
      <c r="T89">
        <v>16</v>
      </c>
      <c r="U89" t="s">
        <v>29</v>
      </c>
      <c r="V89">
        <v>0</v>
      </c>
      <c r="W89">
        <v>0</v>
      </c>
      <c r="X89">
        <v>17</v>
      </c>
    </row>
    <row r="90" spans="1:24" x14ac:dyDescent="0.3">
      <c r="A90" t="s">
        <v>177</v>
      </c>
      <c r="B90">
        <v>10136</v>
      </c>
      <c r="C90" t="s">
        <v>435</v>
      </c>
      <c r="D90">
        <v>1</v>
      </c>
      <c r="E90">
        <v>5</v>
      </c>
      <c r="F90">
        <v>3</v>
      </c>
      <c r="G90">
        <v>65902</v>
      </c>
      <c r="H90">
        <v>20</v>
      </c>
      <c r="I90" t="s">
        <v>37</v>
      </c>
      <c r="J90" t="s">
        <v>24</v>
      </c>
      <c r="K90">
        <v>2324</v>
      </c>
      <c r="L90" s="3">
        <v>31967</v>
      </c>
      <c r="M90" s="5">
        <f t="shared" ca="1" si="2"/>
        <v>38</v>
      </c>
      <c r="N90" t="s">
        <v>38</v>
      </c>
      <c r="O90" t="s">
        <v>26</v>
      </c>
      <c r="P90" s="3">
        <v>41687</v>
      </c>
      <c r="Q90" s="7">
        <f t="shared" ca="1" si="3"/>
        <v>12.164383561643836</v>
      </c>
      <c r="R90" t="s">
        <v>27</v>
      </c>
      <c r="S90" t="s">
        <v>44</v>
      </c>
      <c r="U90" t="s">
        <v>29</v>
      </c>
      <c r="V90">
        <v>0</v>
      </c>
      <c r="W90">
        <v>0</v>
      </c>
      <c r="X90">
        <v>7</v>
      </c>
    </row>
    <row r="91" spans="1:24" x14ac:dyDescent="0.3">
      <c r="A91" t="s">
        <v>178</v>
      </c>
      <c r="B91">
        <v>10189</v>
      </c>
      <c r="C91" t="s">
        <v>435</v>
      </c>
      <c r="D91">
        <v>5</v>
      </c>
      <c r="E91">
        <v>5</v>
      </c>
      <c r="F91">
        <v>3</v>
      </c>
      <c r="G91">
        <v>57748</v>
      </c>
      <c r="H91">
        <v>19</v>
      </c>
      <c r="I91" t="s">
        <v>23</v>
      </c>
      <c r="J91" t="s">
        <v>24</v>
      </c>
      <c r="K91">
        <v>2176</v>
      </c>
      <c r="L91" s="3">
        <v>20183</v>
      </c>
      <c r="M91" s="5">
        <f t="shared" ca="1" si="2"/>
        <v>71</v>
      </c>
      <c r="N91" t="s">
        <v>38</v>
      </c>
      <c r="O91" t="s">
        <v>32</v>
      </c>
      <c r="P91" s="3">
        <v>40735</v>
      </c>
      <c r="Q91" s="7">
        <f t="shared" ca="1" si="3"/>
        <v>14.772602739726027</v>
      </c>
      <c r="R91" t="s">
        <v>27</v>
      </c>
      <c r="S91" t="s">
        <v>44</v>
      </c>
      <c r="T91">
        <v>39</v>
      </c>
      <c r="U91" t="s">
        <v>45</v>
      </c>
      <c r="V91">
        <v>0</v>
      </c>
      <c r="W91">
        <v>0</v>
      </c>
      <c r="X91">
        <v>16</v>
      </c>
    </row>
    <row r="92" spans="1:24" x14ac:dyDescent="0.3">
      <c r="A92" t="s">
        <v>179</v>
      </c>
      <c r="B92">
        <v>10308</v>
      </c>
      <c r="C92" t="s">
        <v>436</v>
      </c>
      <c r="D92">
        <v>1</v>
      </c>
      <c r="E92">
        <v>5</v>
      </c>
      <c r="F92">
        <v>1</v>
      </c>
      <c r="G92">
        <v>64057</v>
      </c>
      <c r="H92">
        <v>19</v>
      </c>
      <c r="I92" t="s">
        <v>23</v>
      </c>
      <c r="J92" t="s">
        <v>24</v>
      </c>
      <c r="K92">
        <v>2132</v>
      </c>
      <c r="L92" s="3">
        <v>32730</v>
      </c>
      <c r="M92" s="5">
        <f t="shared" ca="1" si="2"/>
        <v>36</v>
      </c>
      <c r="N92" t="s">
        <v>25</v>
      </c>
      <c r="O92" t="s">
        <v>32</v>
      </c>
      <c r="P92" s="3">
        <v>42313</v>
      </c>
      <c r="Q92" s="7">
        <f t="shared" ca="1" si="3"/>
        <v>10.449315068493151</v>
      </c>
      <c r="R92" t="s">
        <v>27</v>
      </c>
      <c r="S92" t="s">
        <v>47</v>
      </c>
      <c r="T92">
        <v>11</v>
      </c>
      <c r="U92" t="s">
        <v>35</v>
      </c>
      <c r="V92">
        <v>0</v>
      </c>
      <c r="W92">
        <v>6</v>
      </c>
      <c r="X92">
        <v>15</v>
      </c>
    </row>
    <row r="93" spans="1:24" x14ac:dyDescent="0.3">
      <c r="A93" t="s">
        <v>180</v>
      </c>
      <c r="B93">
        <v>10309</v>
      </c>
      <c r="C93" t="s">
        <v>436</v>
      </c>
      <c r="D93">
        <v>1</v>
      </c>
      <c r="E93">
        <v>3</v>
      </c>
      <c r="F93">
        <v>1</v>
      </c>
      <c r="G93">
        <v>53366</v>
      </c>
      <c r="H93">
        <v>15</v>
      </c>
      <c r="I93" t="s">
        <v>181</v>
      </c>
      <c r="J93" t="s">
        <v>24</v>
      </c>
      <c r="K93">
        <v>2138</v>
      </c>
      <c r="L93" s="3">
        <v>31995</v>
      </c>
      <c r="M93" s="5">
        <f t="shared" ca="1" si="2"/>
        <v>38</v>
      </c>
      <c r="N93" t="s">
        <v>25</v>
      </c>
      <c r="O93" t="s">
        <v>26</v>
      </c>
      <c r="P93" s="3">
        <v>42093</v>
      </c>
      <c r="Q93" s="7">
        <f t="shared" ca="1" si="3"/>
        <v>11.052054794520547</v>
      </c>
      <c r="R93" t="s">
        <v>33</v>
      </c>
      <c r="S93" t="s">
        <v>61</v>
      </c>
      <c r="T93">
        <v>7</v>
      </c>
      <c r="U93" t="s">
        <v>29</v>
      </c>
      <c r="V93">
        <v>6</v>
      </c>
      <c r="W93">
        <v>3</v>
      </c>
      <c r="X93">
        <v>2</v>
      </c>
    </row>
    <row r="94" spans="1:24" x14ac:dyDescent="0.3">
      <c r="A94" t="s">
        <v>182</v>
      </c>
      <c r="B94">
        <v>10049</v>
      </c>
      <c r="C94" t="s">
        <v>435</v>
      </c>
      <c r="D94">
        <v>1</v>
      </c>
      <c r="E94">
        <v>5</v>
      </c>
      <c r="F94">
        <v>3</v>
      </c>
      <c r="G94">
        <v>58530</v>
      </c>
      <c r="H94">
        <v>19</v>
      </c>
      <c r="I94" t="s">
        <v>23</v>
      </c>
      <c r="J94" t="s">
        <v>24</v>
      </c>
      <c r="K94">
        <v>2155</v>
      </c>
      <c r="L94" s="3">
        <v>29740</v>
      </c>
      <c r="M94" s="5">
        <f t="shared" ca="1" si="2"/>
        <v>44</v>
      </c>
      <c r="N94" t="s">
        <v>38</v>
      </c>
      <c r="O94" t="s">
        <v>32</v>
      </c>
      <c r="P94" s="3">
        <v>41153</v>
      </c>
      <c r="Q94" s="7">
        <f t="shared" ca="1" si="3"/>
        <v>13.627397260273973</v>
      </c>
      <c r="R94" t="s">
        <v>27</v>
      </c>
      <c r="S94" t="s">
        <v>57</v>
      </c>
      <c r="T94">
        <v>12</v>
      </c>
      <c r="U94" t="s">
        <v>45</v>
      </c>
      <c r="V94">
        <v>0</v>
      </c>
      <c r="W94">
        <v>0</v>
      </c>
      <c r="X94">
        <v>19</v>
      </c>
    </row>
    <row r="95" spans="1:24" x14ac:dyDescent="0.3">
      <c r="A95" t="s">
        <v>183</v>
      </c>
      <c r="B95">
        <v>10093</v>
      </c>
      <c r="C95" t="s">
        <v>436</v>
      </c>
      <c r="D95">
        <v>5</v>
      </c>
      <c r="E95">
        <v>5</v>
      </c>
      <c r="F95">
        <v>3</v>
      </c>
      <c r="G95">
        <v>72609</v>
      </c>
      <c r="H95">
        <v>20</v>
      </c>
      <c r="I95" t="s">
        <v>37</v>
      </c>
      <c r="J95" t="s">
        <v>24</v>
      </c>
      <c r="K95">
        <v>2143</v>
      </c>
      <c r="L95" s="3">
        <v>29596</v>
      </c>
      <c r="M95" s="5">
        <f t="shared" ca="1" si="2"/>
        <v>45</v>
      </c>
      <c r="N95" t="s">
        <v>25</v>
      </c>
      <c r="O95" t="s">
        <v>26</v>
      </c>
      <c r="P95" s="3">
        <v>40679</v>
      </c>
      <c r="Q95" s="7">
        <f t="shared" ca="1" si="3"/>
        <v>14.926027397260274</v>
      </c>
      <c r="R95" t="s">
        <v>27</v>
      </c>
      <c r="S95" t="s">
        <v>47</v>
      </c>
      <c r="T95">
        <v>11</v>
      </c>
      <c r="U95" t="s">
        <v>45</v>
      </c>
      <c r="V95">
        <v>0</v>
      </c>
      <c r="W95">
        <v>0</v>
      </c>
      <c r="X95">
        <v>20</v>
      </c>
    </row>
    <row r="96" spans="1:24" x14ac:dyDescent="0.3">
      <c r="A96" t="s">
        <v>184</v>
      </c>
      <c r="B96">
        <v>10163</v>
      </c>
      <c r="C96" t="s">
        <v>435</v>
      </c>
      <c r="D96">
        <v>5</v>
      </c>
      <c r="E96">
        <v>5</v>
      </c>
      <c r="F96">
        <v>3</v>
      </c>
      <c r="G96">
        <v>55965</v>
      </c>
      <c r="H96">
        <v>20</v>
      </c>
      <c r="I96" t="s">
        <v>37</v>
      </c>
      <c r="J96" t="s">
        <v>24</v>
      </c>
      <c r="K96">
        <v>2170</v>
      </c>
      <c r="L96" s="3">
        <v>30539</v>
      </c>
      <c r="M96" s="5">
        <f t="shared" ca="1" si="2"/>
        <v>42</v>
      </c>
      <c r="N96" t="s">
        <v>38</v>
      </c>
      <c r="O96" t="s">
        <v>32</v>
      </c>
      <c r="P96" s="3">
        <v>40637</v>
      </c>
      <c r="Q96" s="7">
        <f t="shared" ca="1" si="3"/>
        <v>15.04109589041096</v>
      </c>
      <c r="R96" t="s">
        <v>27</v>
      </c>
      <c r="S96" t="s">
        <v>54</v>
      </c>
      <c r="T96">
        <v>19</v>
      </c>
      <c r="U96" t="s">
        <v>45</v>
      </c>
      <c r="V96">
        <v>0</v>
      </c>
      <c r="W96">
        <v>0</v>
      </c>
      <c r="X96">
        <v>6</v>
      </c>
    </row>
    <row r="97" spans="1:24" x14ac:dyDescent="0.3">
      <c r="A97" t="s">
        <v>185</v>
      </c>
      <c r="B97">
        <v>10305</v>
      </c>
      <c r="C97" t="s">
        <v>436</v>
      </c>
      <c r="D97">
        <v>1</v>
      </c>
      <c r="E97">
        <v>6</v>
      </c>
      <c r="F97">
        <v>3</v>
      </c>
      <c r="G97">
        <v>70187</v>
      </c>
      <c r="H97">
        <v>3</v>
      </c>
      <c r="I97" t="s">
        <v>101</v>
      </c>
      <c r="J97" t="s">
        <v>24</v>
      </c>
      <c r="K97">
        <v>2330</v>
      </c>
      <c r="L97" s="3">
        <v>27582</v>
      </c>
      <c r="M97" s="5">
        <f t="shared" ca="1" si="2"/>
        <v>50</v>
      </c>
      <c r="N97" t="s">
        <v>25</v>
      </c>
      <c r="O97" t="s">
        <v>32</v>
      </c>
      <c r="P97" s="3">
        <v>41911</v>
      </c>
      <c r="Q97" s="7">
        <f t="shared" ca="1" si="3"/>
        <v>11.550684931506849</v>
      </c>
      <c r="R97" t="s">
        <v>103</v>
      </c>
      <c r="S97" t="s">
        <v>122</v>
      </c>
      <c r="T97">
        <v>21</v>
      </c>
      <c r="U97" t="s">
        <v>55</v>
      </c>
      <c r="V97">
        <v>0</v>
      </c>
      <c r="W97">
        <v>4</v>
      </c>
      <c r="X97">
        <v>7</v>
      </c>
    </row>
    <row r="98" spans="1:24" x14ac:dyDescent="0.3">
      <c r="A98" t="s">
        <v>186</v>
      </c>
      <c r="B98">
        <v>10015</v>
      </c>
      <c r="C98" t="s">
        <v>436</v>
      </c>
      <c r="D98">
        <v>1</v>
      </c>
      <c r="E98">
        <v>3</v>
      </c>
      <c r="F98">
        <v>4</v>
      </c>
      <c r="G98">
        <v>178000</v>
      </c>
      <c r="H98">
        <v>12</v>
      </c>
      <c r="I98" t="s">
        <v>187</v>
      </c>
      <c r="J98" t="s">
        <v>24</v>
      </c>
      <c r="K98">
        <v>1460</v>
      </c>
      <c r="L98" s="3">
        <v>29348</v>
      </c>
      <c r="M98" s="5">
        <f t="shared" ca="1" si="2"/>
        <v>45</v>
      </c>
      <c r="N98" t="s">
        <v>25</v>
      </c>
      <c r="O98" t="s">
        <v>26</v>
      </c>
      <c r="P98" s="3">
        <v>40648</v>
      </c>
      <c r="Q98" s="7">
        <f t="shared" ca="1" si="3"/>
        <v>15.010958904109589</v>
      </c>
      <c r="R98" t="s">
        <v>33</v>
      </c>
      <c r="S98" t="s">
        <v>109</v>
      </c>
      <c r="T98">
        <v>5</v>
      </c>
      <c r="U98" t="s">
        <v>35</v>
      </c>
      <c r="V98">
        <v>5</v>
      </c>
      <c r="W98">
        <v>0</v>
      </c>
      <c r="X98">
        <v>15</v>
      </c>
    </row>
    <row r="99" spans="1:24" x14ac:dyDescent="0.3">
      <c r="A99" t="s">
        <v>188</v>
      </c>
      <c r="B99">
        <v>10080</v>
      </c>
      <c r="C99" t="s">
        <v>435</v>
      </c>
      <c r="D99">
        <v>1</v>
      </c>
      <c r="E99">
        <v>1</v>
      </c>
      <c r="F99">
        <v>3</v>
      </c>
      <c r="G99">
        <v>99351</v>
      </c>
      <c r="H99">
        <v>26</v>
      </c>
      <c r="I99" t="s">
        <v>88</v>
      </c>
      <c r="J99" t="s">
        <v>24</v>
      </c>
      <c r="K99">
        <v>2050</v>
      </c>
      <c r="L99" s="3">
        <v>29010</v>
      </c>
      <c r="M99" s="5">
        <f t="shared" ca="1" si="2"/>
        <v>46</v>
      </c>
      <c r="N99" t="s">
        <v>38</v>
      </c>
      <c r="O99" t="s">
        <v>32</v>
      </c>
      <c r="P99" s="3">
        <v>39934</v>
      </c>
      <c r="Q99" s="7">
        <f t="shared" ca="1" si="3"/>
        <v>16.967123287671232</v>
      </c>
      <c r="R99" t="s">
        <v>89</v>
      </c>
      <c r="S99" t="s">
        <v>189</v>
      </c>
      <c r="T99">
        <v>9</v>
      </c>
      <c r="U99" t="s">
        <v>190</v>
      </c>
      <c r="V99">
        <v>2</v>
      </c>
      <c r="W99">
        <v>0</v>
      </c>
      <c r="X99">
        <v>3</v>
      </c>
    </row>
    <row r="100" spans="1:24" x14ac:dyDescent="0.3">
      <c r="A100" t="s">
        <v>191</v>
      </c>
      <c r="B100">
        <v>10258</v>
      </c>
      <c r="C100" t="s">
        <v>436</v>
      </c>
      <c r="D100">
        <v>1</v>
      </c>
      <c r="E100">
        <v>6</v>
      </c>
      <c r="F100">
        <v>3</v>
      </c>
      <c r="G100">
        <v>67251</v>
      </c>
      <c r="H100">
        <v>3</v>
      </c>
      <c r="I100" t="s">
        <v>101</v>
      </c>
      <c r="J100" t="s">
        <v>86</v>
      </c>
      <c r="K100">
        <v>6050</v>
      </c>
      <c r="L100" s="3">
        <v>23231</v>
      </c>
      <c r="M100" s="5">
        <f t="shared" ca="1" si="2"/>
        <v>62</v>
      </c>
      <c r="N100" t="s">
        <v>25</v>
      </c>
      <c r="O100" t="s">
        <v>26</v>
      </c>
      <c r="P100" s="3">
        <v>40703</v>
      </c>
      <c r="Q100" s="7">
        <f t="shared" ca="1" si="3"/>
        <v>14.860273972602739</v>
      </c>
      <c r="R100" t="s">
        <v>103</v>
      </c>
      <c r="S100" t="s">
        <v>122</v>
      </c>
      <c r="T100">
        <v>21</v>
      </c>
      <c r="U100" t="s">
        <v>82</v>
      </c>
      <c r="V100">
        <v>0</v>
      </c>
      <c r="W100">
        <v>2</v>
      </c>
      <c r="X100">
        <v>7</v>
      </c>
    </row>
    <row r="101" spans="1:24" x14ac:dyDescent="0.3">
      <c r="A101" t="s">
        <v>192</v>
      </c>
      <c r="B101">
        <v>10273</v>
      </c>
      <c r="C101" t="s">
        <v>435</v>
      </c>
      <c r="D101">
        <v>1</v>
      </c>
      <c r="E101">
        <v>3</v>
      </c>
      <c r="F101">
        <v>3</v>
      </c>
      <c r="G101">
        <v>65707</v>
      </c>
      <c r="H101">
        <v>14</v>
      </c>
      <c r="I101" t="s">
        <v>60</v>
      </c>
      <c r="J101" t="s">
        <v>86</v>
      </c>
      <c r="K101">
        <v>6040</v>
      </c>
      <c r="L101" s="3">
        <v>24996</v>
      </c>
      <c r="M101" s="5">
        <f t="shared" ca="1" si="2"/>
        <v>57</v>
      </c>
      <c r="N101" t="s">
        <v>38</v>
      </c>
      <c r="O101" t="s">
        <v>26</v>
      </c>
      <c r="P101" s="3">
        <v>40183</v>
      </c>
      <c r="Q101" s="7">
        <f t="shared" ca="1" si="3"/>
        <v>16.284931506849315</v>
      </c>
      <c r="R101" t="s">
        <v>33</v>
      </c>
      <c r="S101" t="s">
        <v>126</v>
      </c>
      <c r="T101">
        <v>6</v>
      </c>
      <c r="U101" t="s">
        <v>29</v>
      </c>
      <c r="V101">
        <v>5</v>
      </c>
      <c r="W101">
        <v>0</v>
      </c>
      <c r="X101">
        <v>1</v>
      </c>
    </row>
    <row r="102" spans="1:24" x14ac:dyDescent="0.3">
      <c r="A102" t="s">
        <v>193</v>
      </c>
      <c r="B102">
        <v>10111</v>
      </c>
      <c r="C102" t="s">
        <v>436</v>
      </c>
      <c r="D102">
        <v>1</v>
      </c>
      <c r="E102">
        <v>5</v>
      </c>
      <c r="F102">
        <v>3</v>
      </c>
      <c r="G102">
        <v>52249</v>
      </c>
      <c r="H102">
        <v>19</v>
      </c>
      <c r="I102" t="s">
        <v>23</v>
      </c>
      <c r="J102" t="s">
        <v>24</v>
      </c>
      <c r="K102">
        <v>1905</v>
      </c>
      <c r="L102" s="3">
        <v>31390</v>
      </c>
      <c r="M102" s="5">
        <f t="shared" ca="1" si="2"/>
        <v>40</v>
      </c>
      <c r="N102" t="s">
        <v>25</v>
      </c>
      <c r="O102" t="s">
        <v>26</v>
      </c>
      <c r="P102" s="3">
        <v>42093</v>
      </c>
      <c r="Q102" s="7">
        <f t="shared" ca="1" si="3"/>
        <v>11.052054794520547</v>
      </c>
      <c r="R102" t="s">
        <v>27</v>
      </c>
      <c r="S102" t="s">
        <v>63</v>
      </c>
      <c r="T102">
        <v>14</v>
      </c>
      <c r="U102" t="s">
        <v>55</v>
      </c>
      <c r="V102">
        <v>0</v>
      </c>
      <c r="W102">
        <v>0</v>
      </c>
      <c r="X102">
        <v>5</v>
      </c>
    </row>
    <row r="103" spans="1:24" x14ac:dyDescent="0.3">
      <c r="A103" t="s">
        <v>194</v>
      </c>
      <c r="B103">
        <v>10257</v>
      </c>
      <c r="C103" t="s">
        <v>435</v>
      </c>
      <c r="D103">
        <v>1</v>
      </c>
      <c r="E103">
        <v>5</v>
      </c>
      <c r="F103">
        <v>3</v>
      </c>
      <c r="G103">
        <v>53171</v>
      </c>
      <c r="H103">
        <v>19</v>
      </c>
      <c r="I103" t="s">
        <v>23</v>
      </c>
      <c r="J103" t="s">
        <v>24</v>
      </c>
      <c r="K103">
        <v>2121</v>
      </c>
      <c r="L103" s="3">
        <v>30359</v>
      </c>
      <c r="M103" s="5">
        <f t="shared" ca="1" si="2"/>
        <v>43</v>
      </c>
      <c r="N103" t="s">
        <v>38</v>
      </c>
      <c r="O103" t="s">
        <v>26</v>
      </c>
      <c r="P103" s="3">
        <v>40679</v>
      </c>
      <c r="Q103" s="7">
        <f t="shared" ca="1" si="3"/>
        <v>14.926027397260274</v>
      </c>
      <c r="R103" t="s">
        <v>27</v>
      </c>
      <c r="S103" t="s">
        <v>69</v>
      </c>
      <c r="T103">
        <v>18</v>
      </c>
      <c r="U103" t="s">
        <v>29</v>
      </c>
      <c r="V103">
        <v>0</v>
      </c>
      <c r="W103">
        <v>0</v>
      </c>
      <c r="X103">
        <v>12</v>
      </c>
    </row>
    <row r="104" spans="1:24" x14ac:dyDescent="0.3">
      <c r="A104" t="s">
        <v>195</v>
      </c>
      <c r="B104">
        <v>10159</v>
      </c>
      <c r="C104" t="s">
        <v>435</v>
      </c>
      <c r="D104">
        <v>1</v>
      </c>
      <c r="E104">
        <v>5</v>
      </c>
      <c r="F104">
        <v>3</v>
      </c>
      <c r="G104">
        <v>51337</v>
      </c>
      <c r="H104">
        <v>19</v>
      </c>
      <c r="I104" t="s">
        <v>23</v>
      </c>
      <c r="J104" t="s">
        <v>24</v>
      </c>
      <c r="K104">
        <v>2145</v>
      </c>
      <c r="L104" s="3">
        <v>32883</v>
      </c>
      <c r="M104" s="5">
        <f t="shared" ca="1" si="2"/>
        <v>36</v>
      </c>
      <c r="N104" t="s">
        <v>38</v>
      </c>
      <c r="O104" t="s">
        <v>32</v>
      </c>
      <c r="P104" s="3">
        <v>42093</v>
      </c>
      <c r="Q104" s="7">
        <f t="shared" ca="1" si="3"/>
        <v>11.052054794520547</v>
      </c>
      <c r="R104" t="s">
        <v>27</v>
      </c>
      <c r="S104" t="s">
        <v>28</v>
      </c>
      <c r="T104">
        <v>22</v>
      </c>
      <c r="U104" t="s">
        <v>29</v>
      </c>
      <c r="V104">
        <v>0</v>
      </c>
      <c r="W104">
        <v>0</v>
      </c>
      <c r="X104">
        <v>19</v>
      </c>
    </row>
    <row r="105" spans="1:24" x14ac:dyDescent="0.3">
      <c r="A105" t="s">
        <v>196</v>
      </c>
      <c r="B105">
        <v>10122</v>
      </c>
      <c r="C105" t="s">
        <v>435</v>
      </c>
      <c r="D105">
        <v>5</v>
      </c>
      <c r="E105">
        <v>5</v>
      </c>
      <c r="F105">
        <v>3</v>
      </c>
      <c r="G105">
        <v>51505</v>
      </c>
      <c r="H105">
        <v>19</v>
      </c>
      <c r="I105" t="s">
        <v>23</v>
      </c>
      <c r="J105" t="s">
        <v>24</v>
      </c>
      <c r="K105">
        <v>2330</v>
      </c>
      <c r="L105" s="3">
        <v>25877</v>
      </c>
      <c r="M105" s="5">
        <f t="shared" ca="1" si="2"/>
        <v>55</v>
      </c>
      <c r="N105" t="s">
        <v>38</v>
      </c>
      <c r="O105" t="s">
        <v>43</v>
      </c>
      <c r="P105" s="3">
        <v>40735</v>
      </c>
      <c r="Q105" s="7">
        <f t="shared" ca="1" si="3"/>
        <v>14.772602739726027</v>
      </c>
      <c r="R105" t="s">
        <v>27</v>
      </c>
      <c r="S105" t="s">
        <v>41</v>
      </c>
      <c r="T105">
        <v>16</v>
      </c>
      <c r="U105" t="s">
        <v>58</v>
      </c>
      <c r="V105">
        <v>0</v>
      </c>
      <c r="W105">
        <v>0</v>
      </c>
      <c r="X105">
        <v>2</v>
      </c>
    </row>
    <row r="106" spans="1:24" x14ac:dyDescent="0.3">
      <c r="A106" t="s">
        <v>197</v>
      </c>
      <c r="B106">
        <v>10142</v>
      </c>
      <c r="C106" t="s">
        <v>435</v>
      </c>
      <c r="D106">
        <v>4</v>
      </c>
      <c r="E106">
        <v>6</v>
      </c>
      <c r="F106">
        <v>3</v>
      </c>
      <c r="G106">
        <v>59370</v>
      </c>
      <c r="H106">
        <v>3</v>
      </c>
      <c r="I106" t="s">
        <v>101</v>
      </c>
      <c r="J106" t="s">
        <v>198</v>
      </c>
      <c r="K106">
        <v>43050</v>
      </c>
      <c r="L106" s="3">
        <v>26213</v>
      </c>
      <c r="M106" s="5">
        <f t="shared" ca="1" si="2"/>
        <v>54</v>
      </c>
      <c r="N106" t="s">
        <v>38</v>
      </c>
      <c r="O106" t="s">
        <v>53</v>
      </c>
      <c r="P106" s="3">
        <v>41827</v>
      </c>
      <c r="Q106" s="7">
        <f t="shared" ca="1" si="3"/>
        <v>11.780821917808218</v>
      </c>
      <c r="R106" t="s">
        <v>103</v>
      </c>
      <c r="S106" t="s">
        <v>104</v>
      </c>
      <c r="T106">
        <v>17</v>
      </c>
      <c r="U106" t="s">
        <v>82</v>
      </c>
      <c r="V106">
        <v>0</v>
      </c>
      <c r="W106">
        <v>0</v>
      </c>
      <c r="X106">
        <v>7</v>
      </c>
    </row>
    <row r="107" spans="1:24" x14ac:dyDescent="0.3">
      <c r="A107" t="s">
        <v>199</v>
      </c>
      <c r="B107">
        <v>10283</v>
      </c>
      <c r="C107" t="s">
        <v>436</v>
      </c>
      <c r="D107">
        <v>5</v>
      </c>
      <c r="E107">
        <v>5</v>
      </c>
      <c r="F107">
        <v>2</v>
      </c>
      <c r="G107">
        <v>54933</v>
      </c>
      <c r="H107">
        <v>19</v>
      </c>
      <c r="I107" t="s">
        <v>23</v>
      </c>
      <c r="J107" t="s">
        <v>24</v>
      </c>
      <c r="K107">
        <v>2062</v>
      </c>
      <c r="L107" s="3">
        <v>27280</v>
      </c>
      <c r="M107" s="5">
        <f t="shared" ca="1" si="2"/>
        <v>51</v>
      </c>
      <c r="N107" t="s">
        <v>25</v>
      </c>
      <c r="O107" t="s">
        <v>32</v>
      </c>
      <c r="P107" s="3">
        <v>40943</v>
      </c>
      <c r="Q107" s="7">
        <f t="shared" ca="1" si="3"/>
        <v>14.202739726027398</v>
      </c>
      <c r="R107" t="s">
        <v>27</v>
      </c>
      <c r="S107" t="s">
        <v>44</v>
      </c>
      <c r="T107">
        <v>39</v>
      </c>
      <c r="U107" t="s">
        <v>58</v>
      </c>
      <c r="V107">
        <v>0</v>
      </c>
      <c r="W107">
        <v>3</v>
      </c>
      <c r="X107">
        <v>15</v>
      </c>
    </row>
    <row r="108" spans="1:24" x14ac:dyDescent="0.3">
      <c r="A108" t="s">
        <v>200</v>
      </c>
      <c r="B108">
        <v>10018</v>
      </c>
      <c r="C108" t="s">
        <v>435</v>
      </c>
      <c r="D108">
        <v>1</v>
      </c>
      <c r="E108">
        <v>5</v>
      </c>
      <c r="F108">
        <v>4</v>
      </c>
      <c r="G108">
        <v>57815</v>
      </c>
      <c r="H108">
        <v>19</v>
      </c>
      <c r="I108" t="s">
        <v>23</v>
      </c>
      <c r="J108" t="s">
        <v>24</v>
      </c>
      <c r="K108">
        <v>2451</v>
      </c>
      <c r="L108" s="3">
        <v>29438</v>
      </c>
      <c r="M108" s="5">
        <f t="shared" ca="1" si="2"/>
        <v>45</v>
      </c>
      <c r="N108" t="s">
        <v>38</v>
      </c>
      <c r="O108" t="s">
        <v>26</v>
      </c>
      <c r="P108" s="3">
        <v>41911</v>
      </c>
      <c r="Q108" s="7">
        <f t="shared" ca="1" si="3"/>
        <v>11.550684931506849</v>
      </c>
      <c r="R108" t="s">
        <v>27</v>
      </c>
      <c r="S108" t="s">
        <v>47</v>
      </c>
      <c r="T108">
        <v>11</v>
      </c>
      <c r="U108" t="s">
        <v>35</v>
      </c>
      <c r="V108">
        <v>0</v>
      </c>
      <c r="W108">
        <v>0</v>
      </c>
      <c r="X108">
        <v>3</v>
      </c>
    </row>
    <row r="109" spans="1:24" x14ac:dyDescent="0.3">
      <c r="A109" t="s">
        <v>201</v>
      </c>
      <c r="B109">
        <v>10255</v>
      </c>
      <c r="C109" t="s">
        <v>435</v>
      </c>
      <c r="D109">
        <v>1</v>
      </c>
      <c r="E109">
        <v>6</v>
      </c>
      <c r="F109">
        <v>3</v>
      </c>
      <c r="G109">
        <v>61555</v>
      </c>
      <c r="H109">
        <v>3</v>
      </c>
      <c r="I109" t="s">
        <v>101</v>
      </c>
      <c r="J109" t="s">
        <v>202</v>
      </c>
      <c r="K109">
        <v>46204</v>
      </c>
      <c r="L109" s="3">
        <v>32851</v>
      </c>
      <c r="M109" s="5">
        <f t="shared" ca="1" si="2"/>
        <v>36</v>
      </c>
      <c r="N109" t="s">
        <v>38</v>
      </c>
      <c r="O109" t="s">
        <v>26</v>
      </c>
      <c r="P109" s="3">
        <v>42051</v>
      </c>
      <c r="Q109" s="7">
        <f t="shared" ca="1" si="3"/>
        <v>11.167123287671233</v>
      </c>
      <c r="R109" t="s">
        <v>103</v>
      </c>
      <c r="S109" t="s">
        <v>122</v>
      </c>
      <c r="T109">
        <v>21</v>
      </c>
      <c r="U109" t="s">
        <v>35</v>
      </c>
      <c r="V109">
        <v>0</v>
      </c>
      <c r="W109">
        <v>0</v>
      </c>
      <c r="X109">
        <v>20</v>
      </c>
    </row>
    <row r="110" spans="1:24" x14ac:dyDescent="0.3">
      <c r="A110" t="s">
        <v>203</v>
      </c>
      <c r="B110">
        <v>10246</v>
      </c>
      <c r="C110" t="s">
        <v>435</v>
      </c>
      <c r="D110">
        <v>4</v>
      </c>
      <c r="E110">
        <v>3</v>
      </c>
      <c r="F110">
        <v>3</v>
      </c>
      <c r="G110">
        <v>114800</v>
      </c>
      <c r="H110">
        <v>8</v>
      </c>
      <c r="I110" t="s">
        <v>76</v>
      </c>
      <c r="J110" t="s">
        <v>24</v>
      </c>
      <c r="K110">
        <v>2127</v>
      </c>
      <c r="L110" s="3">
        <v>26002</v>
      </c>
      <c r="M110" s="5">
        <f t="shared" ca="1" si="2"/>
        <v>55</v>
      </c>
      <c r="N110" t="s">
        <v>38</v>
      </c>
      <c r="O110" t="s">
        <v>26</v>
      </c>
      <c r="P110" s="3">
        <v>42051</v>
      </c>
      <c r="Q110" s="7">
        <f t="shared" ca="1" si="3"/>
        <v>11.167123287671233</v>
      </c>
      <c r="R110" t="s">
        <v>33</v>
      </c>
      <c r="S110" t="s">
        <v>34</v>
      </c>
      <c r="T110">
        <v>4</v>
      </c>
      <c r="U110" t="s">
        <v>35</v>
      </c>
      <c r="V110">
        <v>4</v>
      </c>
      <c r="W110">
        <v>0</v>
      </c>
      <c r="X110">
        <v>10</v>
      </c>
    </row>
    <row r="111" spans="1:24" x14ac:dyDescent="0.3">
      <c r="A111" t="s">
        <v>204</v>
      </c>
      <c r="B111">
        <v>10228</v>
      </c>
      <c r="C111" t="s">
        <v>436</v>
      </c>
      <c r="D111">
        <v>1</v>
      </c>
      <c r="E111">
        <v>3</v>
      </c>
      <c r="F111">
        <v>3</v>
      </c>
      <c r="G111">
        <v>74679</v>
      </c>
      <c r="H111">
        <v>14</v>
      </c>
      <c r="I111" t="s">
        <v>60</v>
      </c>
      <c r="J111" t="s">
        <v>24</v>
      </c>
      <c r="K111">
        <v>2135</v>
      </c>
      <c r="L111" s="3">
        <v>32609</v>
      </c>
      <c r="M111" s="5">
        <f t="shared" ca="1" si="2"/>
        <v>37</v>
      </c>
      <c r="N111" t="s">
        <v>25</v>
      </c>
      <c r="O111" t="s">
        <v>32</v>
      </c>
      <c r="P111" s="3">
        <v>42093</v>
      </c>
      <c r="Q111" s="7">
        <f t="shared" ca="1" si="3"/>
        <v>11.052054794520547</v>
      </c>
      <c r="R111" t="s">
        <v>33</v>
      </c>
      <c r="S111" t="s">
        <v>61</v>
      </c>
      <c r="T111">
        <v>7</v>
      </c>
      <c r="U111" t="s">
        <v>29</v>
      </c>
      <c r="V111">
        <v>7</v>
      </c>
      <c r="W111">
        <v>0</v>
      </c>
      <c r="X111">
        <v>20</v>
      </c>
    </row>
    <row r="112" spans="1:24" x14ac:dyDescent="0.3">
      <c r="A112" t="s">
        <v>205</v>
      </c>
      <c r="B112">
        <v>10243</v>
      </c>
      <c r="C112" t="s">
        <v>435</v>
      </c>
      <c r="D112">
        <v>1</v>
      </c>
      <c r="E112">
        <v>5</v>
      </c>
      <c r="F112">
        <v>3</v>
      </c>
      <c r="G112">
        <v>53018</v>
      </c>
      <c r="H112">
        <v>19</v>
      </c>
      <c r="I112" t="s">
        <v>23</v>
      </c>
      <c r="J112" t="s">
        <v>24</v>
      </c>
      <c r="K112">
        <v>2451</v>
      </c>
      <c r="L112" s="3">
        <v>33822</v>
      </c>
      <c r="M112" s="5">
        <f t="shared" ca="1" si="2"/>
        <v>33</v>
      </c>
      <c r="N112" t="s">
        <v>38</v>
      </c>
      <c r="O112" t="s">
        <v>26</v>
      </c>
      <c r="P112" s="3">
        <v>41589</v>
      </c>
      <c r="Q112" s="7">
        <f t="shared" ca="1" si="3"/>
        <v>12.432876712328767</v>
      </c>
      <c r="R112" t="s">
        <v>27</v>
      </c>
      <c r="S112" t="s">
        <v>54</v>
      </c>
      <c r="T112">
        <v>19</v>
      </c>
      <c r="U112" t="s">
        <v>35</v>
      </c>
      <c r="V112">
        <v>0</v>
      </c>
      <c r="W112">
        <v>0</v>
      </c>
      <c r="X112">
        <v>7</v>
      </c>
    </row>
    <row r="113" spans="1:24" x14ac:dyDescent="0.3">
      <c r="A113" t="s">
        <v>206</v>
      </c>
      <c r="B113">
        <v>10031</v>
      </c>
      <c r="C113" t="s">
        <v>436</v>
      </c>
      <c r="D113">
        <v>1</v>
      </c>
      <c r="E113">
        <v>5</v>
      </c>
      <c r="F113">
        <v>4</v>
      </c>
      <c r="G113">
        <v>59892</v>
      </c>
      <c r="H113">
        <v>19</v>
      </c>
      <c r="I113" t="s">
        <v>23</v>
      </c>
      <c r="J113" t="s">
        <v>24</v>
      </c>
      <c r="K113">
        <v>2108</v>
      </c>
      <c r="L113" s="3">
        <v>25455</v>
      </c>
      <c r="M113" s="5">
        <f t="shared" ca="1" si="2"/>
        <v>56</v>
      </c>
      <c r="N113" t="s">
        <v>25</v>
      </c>
      <c r="O113" t="s">
        <v>43</v>
      </c>
      <c r="P113" s="3">
        <v>40854</v>
      </c>
      <c r="Q113" s="7">
        <f t="shared" ca="1" si="3"/>
        <v>14.446575342465753</v>
      </c>
      <c r="R113" t="s">
        <v>27</v>
      </c>
      <c r="S113" t="s">
        <v>57</v>
      </c>
      <c r="T113">
        <v>12</v>
      </c>
      <c r="U113" t="s">
        <v>58</v>
      </c>
      <c r="V113">
        <v>0</v>
      </c>
      <c r="W113">
        <v>0</v>
      </c>
      <c r="X113">
        <v>1</v>
      </c>
    </row>
    <row r="114" spans="1:24" x14ac:dyDescent="0.3">
      <c r="A114" t="s">
        <v>207</v>
      </c>
      <c r="B114">
        <v>10300</v>
      </c>
      <c r="C114" t="s">
        <v>436</v>
      </c>
      <c r="D114">
        <v>5</v>
      </c>
      <c r="E114">
        <v>5</v>
      </c>
      <c r="F114">
        <v>1</v>
      </c>
      <c r="G114">
        <v>68898</v>
      </c>
      <c r="H114">
        <v>20</v>
      </c>
      <c r="I114" t="s">
        <v>37</v>
      </c>
      <c r="J114" t="s">
        <v>24</v>
      </c>
      <c r="K114">
        <v>2128</v>
      </c>
      <c r="L114" s="3">
        <v>23721</v>
      </c>
      <c r="M114" s="5">
        <f t="shared" ca="1" si="2"/>
        <v>61</v>
      </c>
      <c r="N114" t="s">
        <v>25</v>
      </c>
      <c r="O114" t="s">
        <v>32</v>
      </c>
      <c r="P114" s="3">
        <v>40294</v>
      </c>
      <c r="Q114" s="7">
        <f t="shared" ca="1" si="3"/>
        <v>15.980821917808219</v>
      </c>
      <c r="R114" t="s">
        <v>27</v>
      </c>
      <c r="S114" t="s">
        <v>57</v>
      </c>
      <c r="T114">
        <v>12</v>
      </c>
      <c r="U114" t="s">
        <v>58</v>
      </c>
      <c r="V114">
        <v>0</v>
      </c>
      <c r="W114">
        <v>3</v>
      </c>
      <c r="X114">
        <v>10</v>
      </c>
    </row>
    <row r="115" spans="1:24" x14ac:dyDescent="0.3">
      <c r="A115" t="s">
        <v>208</v>
      </c>
      <c r="B115">
        <v>10101</v>
      </c>
      <c r="C115" t="s">
        <v>435</v>
      </c>
      <c r="D115">
        <v>1</v>
      </c>
      <c r="E115">
        <v>3</v>
      </c>
      <c r="F115">
        <v>3</v>
      </c>
      <c r="G115">
        <v>61242</v>
      </c>
      <c r="H115">
        <v>14</v>
      </c>
      <c r="I115" t="s">
        <v>60</v>
      </c>
      <c r="J115" t="s">
        <v>24</v>
      </c>
      <c r="K115">
        <v>2472</v>
      </c>
      <c r="L115" s="3">
        <v>29741</v>
      </c>
      <c r="M115" s="5">
        <f t="shared" ca="1" si="2"/>
        <v>44</v>
      </c>
      <c r="N115" t="s">
        <v>38</v>
      </c>
      <c r="O115" t="s">
        <v>99</v>
      </c>
      <c r="P115" s="3">
        <v>42125</v>
      </c>
      <c r="Q115" s="7">
        <f t="shared" ca="1" si="3"/>
        <v>10.964383561643835</v>
      </c>
      <c r="R115" t="s">
        <v>33</v>
      </c>
      <c r="S115" t="s">
        <v>61</v>
      </c>
      <c r="T115">
        <v>7</v>
      </c>
      <c r="U115" t="s">
        <v>55</v>
      </c>
      <c r="V115">
        <v>5</v>
      </c>
      <c r="W115">
        <v>0</v>
      </c>
      <c r="X115">
        <v>11</v>
      </c>
    </row>
    <row r="116" spans="1:24" x14ac:dyDescent="0.3">
      <c r="A116" t="s">
        <v>209</v>
      </c>
      <c r="B116">
        <v>10237</v>
      </c>
      <c r="C116" t="s">
        <v>435</v>
      </c>
      <c r="D116">
        <v>3</v>
      </c>
      <c r="E116">
        <v>5</v>
      </c>
      <c r="F116">
        <v>3</v>
      </c>
      <c r="G116">
        <v>66825</v>
      </c>
      <c r="H116">
        <v>20</v>
      </c>
      <c r="I116" t="s">
        <v>37</v>
      </c>
      <c r="J116" t="s">
        <v>24</v>
      </c>
      <c r="K116">
        <v>1886</v>
      </c>
      <c r="L116" s="3">
        <v>31537</v>
      </c>
      <c r="M116" s="5">
        <f t="shared" ca="1" si="2"/>
        <v>39</v>
      </c>
      <c r="N116" t="s">
        <v>38</v>
      </c>
      <c r="O116" t="s">
        <v>32</v>
      </c>
      <c r="P116" s="3">
        <v>41978</v>
      </c>
      <c r="Q116" s="7">
        <f t="shared" ca="1" si="3"/>
        <v>11.367123287671232</v>
      </c>
      <c r="R116" t="s">
        <v>27</v>
      </c>
      <c r="S116" t="s">
        <v>63</v>
      </c>
      <c r="T116">
        <v>14</v>
      </c>
      <c r="U116" t="s">
        <v>29</v>
      </c>
      <c r="V116">
        <v>0</v>
      </c>
      <c r="W116">
        <v>0</v>
      </c>
      <c r="X116">
        <v>20</v>
      </c>
    </row>
    <row r="117" spans="1:24" x14ac:dyDescent="0.3">
      <c r="A117" t="s">
        <v>210</v>
      </c>
      <c r="B117">
        <v>10051</v>
      </c>
      <c r="C117" t="s">
        <v>436</v>
      </c>
      <c r="D117">
        <v>1</v>
      </c>
      <c r="E117">
        <v>5</v>
      </c>
      <c r="F117">
        <v>3</v>
      </c>
      <c r="G117">
        <v>48285</v>
      </c>
      <c r="H117">
        <v>19</v>
      </c>
      <c r="I117" t="s">
        <v>23</v>
      </c>
      <c r="J117" t="s">
        <v>24</v>
      </c>
      <c r="K117">
        <v>2169</v>
      </c>
      <c r="L117" s="3">
        <v>28860</v>
      </c>
      <c r="M117" s="5">
        <f t="shared" ca="1" si="2"/>
        <v>47</v>
      </c>
      <c r="N117" t="s">
        <v>25</v>
      </c>
      <c r="O117" t="s">
        <v>32</v>
      </c>
      <c r="P117" s="3">
        <v>40946</v>
      </c>
      <c r="Q117" s="7">
        <f t="shared" ca="1" si="3"/>
        <v>14.194520547945206</v>
      </c>
      <c r="R117" t="s">
        <v>27</v>
      </c>
      <c r="S117" t="s">
        <v>63</v>
      </c>
      <c r="T117">
        <v>14</v>
      </c>
      <c r="U117" t="s">
        <v>29</v>
      </c>
      <c r="V117">
        <v>0</v>
      </c>
      <c r="W117">
        <v>0</v>
      </c>
      <c r="X117">
        <v>2</v>
      </c>
    </row>
    <row r="118" spans="1:24" x14ac:dyDescent="0.3">
      <c r="A118" t="s">
        <v>211</v>
      </c>
      <c r="B118">
        <v>10218</v>
      </c>
      <c r="C118" t="s">
        <v>435</v>
      </c>
      <c r="D118">
        <v>3</v>
      </c>
      <c r="E118">
        <v>5</v>
      </c>
      <c r="F118">
        <v>3</v>
      </c>
      <c r="G118">
        <v>66149</v>
      </c>
      <c r="H118">
        <v>20</v>
      </c>
      <c r="I118" t="s">
        <v>37</v>
      </c>
      <c r="J118" t="s">
        <v>24</v>
      </c>
      <c r="K118">
        <v>1824</v>
      </c>
      <c r="L118" s="3">
        <v>30540</v>
      </c>
      <c r="M118" s="5">
        <f t="shared" ca="1" si="2"/>
        <v>42</v>
      </c>
      <c r="N118" t="s">
        <v>38</v>
      </c>
      <c r="O118" t="s">
        <v>99</v>
      </c>
      <c r="P118" s="3">
        <v>41547</v>
      </c>
      <c r="Q118" s="7">
        <f t="shared" ca="1" si="3"/>
        <v>12.547945205479452</v>
      </c>
      <c r="R118" t="s">
        <v>27</v>
      </c>
      <c r="S118" t="s">
        <v>39</v>
      </c>
      <c r="T118">
        <v>20</v>
      </c>
      <c r="U118" t="s">
        <v>45</v>
      </c>
      <c r="V118">
        <v>0</v>
      </c>
      <c r="W118">
        <v>0</v>
      </c>
      <c r="X118">
        <v>1</v>
      </c>
    </row>
    <row r="119" spans="1:24" x14ac:dyDescent="0.3">
      <c r="A119" t="s">
        <v>212</v>
      </c>
      <c r="B119">
        <v>10256</v>
      </c>
      <c r="C119" t="s">
        <v>435</v>
      </c>
      <c r="D119">
        <v>3</v>
      </c>
      <c r="E119">
        <v>5</v>
      </c>
      <c r="F119">
        <v>3</v>
      </c>
      <c r="G119">
        <v>49256</v>
      </c>
      <c r="H119">
        <v>19</v>
      </c>
      <c r="I119" t="s">
        <v>23</v>
      </c>
      <c r="J119" t="s">
        <v>24</v>
      </c>
      <c r="K119">
        <v>1864</v>
      </c>
      <c r="L119" s="3">
        <v>27282</v>
      </c>
      <c r="M119" s="5">
        <f t="shared" ca="1" si="2"/>
        <v>51</v>
      </c>
      <c r="N119" t="s">
        <v>38</v>
      </c>
      <c r="O119" t="s">
        <v>32</v>
      </c>
      <c r="P119" s="3">
        <v>41505</v>
      </c>
      <c r="Q119" s="7">
        <f t="shared" ca="1" si="3"/>
        <v>12.663013698630136</v>
      </c>
      <c r="R119" t="s">
        <v>27</v>
      </c>
      <c r="S119" t="s">
        <v>39</v>
      </c>
      <c r="T119">
        <v>20</v>
      </c>
      <c r="U119" t="s">
        <v>29</v>
      </c>
      <c r="V119">
        <v>0</v>
      </c>
      <c r="W119">
        <v>0</v>
      </c>
      <c r="X119">
        <v>3</v>
      </c>
    </row>
    <row r="120" spans="1:24" x14ac:dyDescent="0.3">
      <c r="A120" t="s">
        <v>213</v>
      </c>
      <c r="B120">
        <v>10098</v>
      </c>
      <c r="C120" t="s">
        <v>436</v>
      </c>
      <c r="D120">
        <v>1</v>
      </c>
      <c r="E120">
        <v>5</v>
      </c>
      <c r="F120">
        <v>3</v>
      </c>
      <c r="G120">
        <v>62957</v>
      </c>
      <c r="H120">
        <v>18</v>
      </c>
      <c r="I120" t="s">
        <v>92</v>
      </c>
      <c r="J120" t="s">
        <v>24</v>
      </c>
      <c r="K120">
        <v>1752</v>
      </c>
      <c r="L120" s="3">
        <v>29897</v>
      </c>
      <c r="M120" s="5">
        <f t="shared" ca="1" si="2"/>
        <v>44</v>
      </c>
      <c r="N120" t="s">
        <v>25</v>
      </c>
      <c r="O120" t="s">
        <v>43</v>
      </c>
      <c r="P120" s="3">
        <v>42041</v>
      </c>
      <c r="Q120" s="7">
        <f t="shared" ca="1" si="3"/>
        <v>11.194520547945206</v>
      </c>
      <c r="R120" t="s">
        <v>27</v>
      </c>
      <c r="S120" t="s">
        <v>93</v>
      </c>
      <c r="T120">
        <v>2</v>
      </c>
      <c r="U120" t="s">
        <v>55</v>
      </c>
      <c r="V120">
        <v>0</v>
      </c>
      <c r="W120">
        <v>0</v>
      </c>
      <c r="X120">
        <v>2</v>
      </c>
    </row>
    <row r="121" spans="1:24" x14ac:dyDescent="0.3">
      <c r="A121" t="s">
        <v>214</v>
      </c>
      <c r="B121">
        <v>10059</v>
      </c>
      <c r="C121" t="s">
        <v>435</v>
      </c>
      <c r="D121">
        <v>5</v>
      </c>
      <c r="E121">
        <v>5</v>
      </c>
      <c r="F121">
        <v>3</v>
      </c>
      <c r="G121">
        <v>63813</v>
      </c>
      <c r="H121">
        <v>19</v>
      </c>
      <c r="I121" t="s">
        <v>23</v>
      </c>
      <c r="J121" t="s">
        <v>24</v>
      </c>
      <c r="K121">
        <v>2176</v>
      </c>
      <c r="L121" s="3">
        <v>30625</v>
      </c>
      <c r="M121" s="5">
        <f t="shared" ca="1" si="2"/>
        <v>42</v>
      </c>
      <c r="N121" t="s">
        <v>38</v>
      </c>
      <c r="O121" t="s">
        <v>43</v>
      </c>
      <c r="P121" s="3">
        <v>40595</v>
      </c>
      <c r="Q121" s="7">
        <f t="shared" ca="1" si="3"/>
        <v>15.156164383561643</v>
      </c>
      <c r="R121" t="s">
        <v>27</v>
      </c>
      <c r="S121" t="s">
        <v>69</v>
      </c>
      <c r="T121">
        <v>18</v>
      </c>
      <c r="U121" t="s">
        <v>82</v>
      </c>
      <c r="V121">
        <v>0</v>
      </c>
      <c r="W121">
        <v>0</v>
      </c>
      <c r="X121">
        <v>17</v>
      </c>
    </row>
    <row r="122" spans="1:24" x14ac:dyDescent="0.3">
      <c r="A122" t="s">
        <v>215</v>
      </c>
      <c r="B122">
        <v>10234</v>
      </c>
      <c r="C122" t="s">
        <v>436</v>
      </c>
      <c r="D122">
        <v>1</v>
      </c>
      <c r="E122">
        <v>3</v>
      </c>
      <c r="F122">
        <v>3</v>
      </c>
      <c r="G122">
        <v>99020</v>
      </c>
      <c r="H122">
        <v>4</v>
      </c>
      <c r="I122" t="s">
        <v>154</v>
      </c>
      <c r="J122" t="s">
        <v>24</v>
      </c>
      <c r="K122">
        <v>2134</v>
      </c>
      <c r="L122" s="3">
        <v>32573</v>
      </c>
      <c r="M122" s="5">
        <f t="shared" ca="1" si="2"/>
        <v>37</v>
      </c>
      <c r="N122" t="s">
        <v>25</v>
      </c>
      <c r="O122" t="s">
        <v>32</v>
      </c>
      <c r="P122" s="3">
        <v>42845</v>
      </c>
      <c r="Q122" s="7">
        <f t="shared" ca="1" si="3"/>
        <v>8.9917808219178088</v>
      </c>
      <c r="R122" t="s">
        <v>33</v>
      </c>
      <c r="S122" t="s">
        <v>155</v>
      </c>
      <c r="T122">
        <v>13</v>
      </c>
      <c r="U122" t="s">
        <v>35</v>
      </c>
      <c r="V122">
        <v>5</v>
      </c>
      <c r="W122">
        <v>0</v>
      </c>
      <c r="X122">
        <v>8</v>
      </c>
    </row>
    <row r="123" spans="1:24" x14ac:dyDescent="0.3">
      <c r="A123" t="s">
        <v>216</v>
      </c>
      <c r="B123">
        <v>10109</v>
      </c>
      <c r="C123" t="s">
        <v>436</v>
      </c>
      <c r="D123">
        <v>5</v>
      </c>
      <c r="E123">
        <v>6</v>
      </c>
      <c r="F123">
        <v>3</v>
      </c>
      <c r="G123">
        <v>71707</v>
      </c>
      <c r="H123">
        <v>3</v>
      </c>
      <c r="I123" t="s">
        <v>101</v>
      </c>
      <c r="J123" t="s">
        <v>217</v>
      </c>
      <c r="K123">
        <v>37129</v>
      </c>
      <c r="L123" s="3">
        <v>25448</v>
      </c>
      <c r="M123" s="5">
        <f t="shared" ca="1" si="2"/>
        <v>56</v>
      </c>
      <c r="N123" t="s">
        <v>25</v>
      </c>
      <c r="O123" t="s">
        <v>26</v>
      </c>
      <c r="P123" s="3">
        <v>41093</v>
      </c>
      <c r="Q123" s="7">
        <f t="shared" ca="1" si="3"/>
        <v>13.791780821917808</v>
      </c>
      <c r="R123" t="s">
        <v>103</v>
      </c>
      <c r="S123" t="s">
        <v>104</v>
      </c>
      <c r="T123">
        <v>17</v>
      </c>
      <c r="U123" t="s">
        <v>29</v>
      </c>
      <c r="V123">
        <v>0</v>
      </c>
      <c r="W123">
        <v>0</v>
      </c>
      <c r="X123">
        <v>20</v>
      </c>
    </row>
    <row r="124" spans="1:24" x14ac:dyDescent="0.3">
      <c r="A124" t="s">
        <v>218</v>
      </c>
      <c r="B124">
        <v>10125</v>
      </c>
      <c r="C124" t="s">
        <v>435</v>
      </c>
      <c r="D124">
        <v>1</v>
      </c>
      <c r="E124">
        <v>5</v>
      </c>
      <c r="F124">
        <v>3</v>
      </c>
      <c r="G124">
        <v>54828</v>
      </c>
      <c r="H124">
        <v>19</v>
      </c>
      <c r="I124" t="s">
        <v>23</v>
      </c>
      <c r="J124" t="s">
        <v>24</v>
      </c>
      <c r="K124">
        <v>2127</v>
      </c>
      <c r="L124" s="3">
        <v>28187</v>
      </c>
      <c r="M124" s="5">
        <f t="shared" ca="1" si="2"/>
        <v>49</v>
      </c>
      <c r="N124" t="s">
        <v>38</v>
      </c>
      <c r="O124" t="s">
        <v>32</v>
      </c>
      <c r="P124" s="3">
        <v>40875</v>
      </c>
      <c r="Q124" s="7">
        <f t="shared" ca="1" si="3"/>
        <v>14.389041095890411</v>
      </c>
      <c r="R124" t="s">
        <v>27</v>
      </c>
      <c r="S124" t="s">
        <v>28</v>
      </c>
      <c r="T124">
        <v>22</v>
      </c>
      <c r="U124" t="s">
        <v>45</v>
      </c>
      <c r="V124">
        <v>0</v>
      </c>
      <c r="W124">
        <v>0</v>
      </c>
      <c r="X124">
        <v>13</v>
      </c>
    </row>
    <row r="125" spans="1:24" x14ac:dyDescent="0.3">
      <c r="A125" t="s">
        <v>219</v>
      </c>
      <c r="B125">
        <v>10074</v>
      </c>
      <c r="C125" t="s">
        <v>436</v>
      </c>
      <c r="D125">
        <v>1</v>
      </c>
      <c r="E125">
        <v>5</v>
      </c>
      <c r="F125">
        <v>3</v>
      </c>
      <c r="G125">
        <v>64246</v>
      </c>
      <c r="H125">
        <v>20</v>
      </c>
      <c r="I125" t="s">
        <v>37</v>
      </c>
      <c r="J125" t="s">
        <v>24</v>
      </c>
      <c r="K125">
        <v>2155</v>
      </c>
      <c r="L125" s="3">
        <v>32424</v>
      </c>
      <c r="M125" s="5">
        <f t="shared" ca="1" si="2"/>
        <v>37</v>
      </c>
      <c r="N125" t="s">
        <v>25</v>
      </c>
      <c r="O125" t="s">
        <v>26</v>
      </c>
      <c r="P125" s="3">
        <v>41589</v>
      </c>
      <c r="Q125" s="7">
        <f t="shared" ca="1" si="3"/>
        <v>12.432876712328767</v>
      </c>
      <c r="R125" t="s">
        <v>27</v>
      </c>
      <c r="S125" t="s">
        <v>69</v>
      </c>
      <c r="T125">
        <v>18</v>
      </c>
      <c r="U125" t="s">
        <v>29</v>
      </c>
      <c r="V125">
        <v>0</v>
      </c>
      <c r="W125">
        <v>0</v>
      </c>
      <c r="X125">
        <v>20</v>
      </c>
    </row>
    <row r="126" spans="1:24" x14ac:dyDescent="0.3">
      <c r="A126" t="s">
        <v>220</v>
      </c>
      <c r="B126">
        <v>10097</v>
      </c>
      <c r="C126" t="s">
        <v>435</v>
      </c>
      <c r="D126">
        <v>5</v>
      </c>
      <c r="E126">
        <v>5</v>
      </c>
      <c r="F126">
        <v>3</v>
      </c>
      <c r="G126">
        <v>52177</v>
      </c>
      <c r="H126">
        <v>19</v>
      </c>
      <c r="I126" t="s">
        <v>23</v>
      </c>
      <c r="J126" t="s">
        <v>24</v>
      </c>
      <c r="K126">
        <v>2324</v>
      </c>
      <c r="L126" s="3">
        <v>19214</v>
      </c>
      <c r="M126" s="5">
        <f t="shared" ca="1" si="2"/>
        <v>73</v>
      </c>
      <c r="N126" t="s">
        <v>38</v>
      </c>
      <c r="O126" t="s">
        <v>26</v>
      </c>
      <c r="P126" s="3">
        <v>41153</v>
      </c>
      <c r="Q126" s="7">
        <f t="shared" ca="1" si="3"/>
        <v>13.627397260273973</v>
      </c>
      <c r="R126" t="s">
        <v>27</v>
      </c>
      <c r="S126" t="s">
        <v>44</v>
      </c>
      <c r="T126">
        <v>39</v>
      </c>
      <c r="U126" t="s">
        <v>82</v>
      </c>
      <c r="V126">
        <v>0</v>
      </c>
      <c r="W126">
        <v>0</v>
      </c>
      <c r="X126">
        <v>8</v>
      </c>
    </row>
    <row r="127" spans="1:24" x14ac:dyDescent="0.3">
      <c r="A127" t="s">
        <v>221</v>
      </c>
      <c r="B127">
        <v>10007</v>
      </c>
      <c r="C127" t="s">
        <v>435</v>
      </c>
      <c r="D127">
        <v>1</v>
      </c>
      <c r="E127">
        <v>5</v>
      </c>
      <c r="F127">
        <v>4</v>
      </c>
      <c r="G127">
        <v>62065</v>
      </c>
      <c r="H127">
        <v>19</v>
      </c>
      <c r="I127" t="s">
        <v>23</v>
      </c>
      <c r="J127" t="s">
        <v>24</v>
      </c>
      <c r="K127">
        <v>1886</v>
      </c>
      <c r="L127" s="3">
        <v>27065</v>
      </c>
      <c r="M127" s="5">
        <f t="shared" ca="1" si="2"/>
        <v>52</v>
      </c>
      <c r="N127" t="s">
        <v>38</v>
      </c>
      <c r="O127" t="s">
        <v>32</v>
      </c>
      <c r="P127" s="3">
        <v>41978</v>
      </c>
      <c r="Q127" s="7">
        <f t="shared" ca="1" si="3"/>
        <v>11.367123287671232</v>
      </c>
      <c r="R127" t="s">
        <v>27</v>
      </c>
      <c r="S127" t="s">
        <v>47</v>
      </c>
      <c r="T127">
        <v>11</v>
      </c>
      <c r="U127" t="s">
        <v>82</v>
      </c>
      <c r="V127">
        <v>0</v>
      </c>
      <c r="W127">
        <v>0</v>
      </c>
      <c r="X127">
        <v>5</v>
      </c>
    </row>
    <row r="128" spans="1:24" x14ac:dyDescent="0.3">
      <c r="A128" t="s">
        <v>222</v>
      </c>
      <c r="B128">
        <v>10129</v>
      </c>
      <c r="C128" t="s">
        <v>436</v>
      </c>
      <c r="D128">
        <v>1</v>
      </c>
      <c r="E128">
        <v>5</v>
      </c>
      <c r="F128">
        <v>3</v>
      </c>
      <c r="G128">
        <v>46998</v>
      </c>
      <c r="H128">
        <v>19</v>
      </c>
      <c r="I128" t="s">
        <v>23</v>
      </c>
      <c r="J128" t="s">
        <v>24</v>
      </c>
      <c r="K128">
        <v>2149</v>
      </c>
      <c r="L128" s="3">
        <v>30773</v>
      </c>
      <c r="M128" s="5">
        <f t="shared" ca="1" si="2"/>
        <v>42</v>
      </c>
      <c r="N128" t="s">
        <v>25</v>
      </c>
      <c r="O128" t="s">
        <v>26</v>
      </c>
      <c r="P128" s="3">
        <v>41134</v>
      </c>
      <c r="Q128" s="7">
        <f t="shared" ca="1" si="3"/>
        <v>13.67945205479452</v>
      </c>
      <c r="R128" t="s">
        <v>27</v>
      </c>
      <c r="S128" t="s">
        <v>54</v>
      </c>
      <c r="T128">
        <v>19</v>
      </c>
      <c r="U128" t="s">
        <v>45</v>
      </c>
      <c r="V128">
        <v>0</v>
      </c>
      <c r="W128">
        <v>0</v>
      </c>
      <c r="X128">
        <v>1</v>
      </c>
    </row>
    <row r="129" spans="1:24" x14ac:dyDescent="0.3">
      <c r="A129" t="s">
        <v>223</v>
      </c>
      <c r="B129">
        <v>10075</v>
      </c>
      <c r="C129" t="s">
        <v>435</v>
      </c>
      <c r="D129">
        <v>5</v>
      </c>
      <c r="E129">
        <v>5</v>
      </c>
      <c r="F129">
        <v>3</v>
      </c>
      <c r="G129">
        <v>68099</v>
      </c>
      <c r="H129">
        <v>20</v>
      </c>
      <c r="I129" t="s">
        <v>37</v>
      </c>
      <c r="J129" t="s">
        <v>24</v>
      </c>
      <c r="K129">
        <v>2021</v>
      </c>
      <c r="L129" s="3">
        <v>26488</v>
      </c>
      <c r="M129" s="5">
        <f t="shared" ca="1" si="2"/>
        <v>53</v>
      </c>
      <c r="N129" t="s">
        <v>38</v>
      </c>
      <c r="O129" t="s">
        <v>26</v>
      </c>
      <c r="P129" s="3">
        <v>40817</v>
      </c>
      <c r="Q129" s="7">
        <f t="shared" ca="1" si="3"/>
        <v>14.547945205479452</v>
      </c>
      <c r="R129" t="s">
        <v>27</v>
      </c>
      <c r="S129" t="s">
        <v>69</v>
      </c>
      <c r="T129">
        <v>18</v>
      </c>
      <c r="U129" t="s">
        <v>82</v>
      </c>
      <c r="V129">
        <v>0</v>
      </c>
      <c r="W129">
        <v>0</v>
      </c>
      <c r="X129">
        <v>15</v>
      </c>
    </row>
    <row r="130" spans="1:24" x14ac:dyDescent="0.3">
      <c r="A130" t="s">
        <v>224</v>
      </c>
      <c r="B130">
        <v>10167</v>
      </c>
      <c r="C130" t="s">
        <v>436</v>
      </c>
      <c r="D130">
        <v>1</v>
      </c>
      <c r="E130">
        <v>6</v>
      </c>
      <c r="F130">
        <v>3</v>
      </c>
      <c r="G130">
        <v>70545</v>
      </c>
      <c r="H130">
        <v>3</v>
      </c>
      <c r="I130" t="s">
        <v>101</v>
      </c>
      <c r="J130" t="s">
        <v>225</v>
      </c>
      <c r="K130">
        <v>3062</v>
      </c>
      <c r="L130" s="3">
        <v>32242</v>
      </c>
      <c r="M130" s="5">
        <f t="shared" ca="1" si="2"/>
        <v>38</v>
      </c>
      <c r="N130" t="s">
        <v>25</v>
      </c>
      <c r="O130" t="s">
        <v>32</v>
      </c>
      <c r="P130" s="3">
        <v>41869</v>
      </c>
      <c r="Q130" s="7">
        <f t="shared" ca="1" si="3"/>
        <v>11.665753424657535</v>
      </c>
      <c r="R130" t="s">
        <v>103</v>
      </c>
      <c r="S130" t="s">
        <v>104</v>
      </c>
      <c r="T130">
        <v>17</v>
      </c>
      <c r="U130" t="s">
        <v>35</v>
      </c>
      <c r="V130">
        <v>0</v>
      </c>
      <c r="W130">
        <v>0</v>
      </c>
      <c r="X130">
        <v>9</v>
      </c>
    </row>
    <row r="131" spans="1:24" x14ac:dyDescent="0.3">
      <c r="A131" t="s">
        <v>226</v>
      </c>
      <c r="B131">
        <v>10195</v>
      </c>
      <c r="C131" t="s">
        <v>435</v>
      </c>
      <c r="D131">
        <v>5</v>
      </c>
      <c r="E131">
        <v>5</v>
      </c>
      <c r="F131">
        <v>3</v>
      </c>
      <c r="G131">
        <v>63478</v>
      </c>
      <c r="H131">
        <v>20</v>
      </c>
      <c r="I131" t="s">
        <v>37</v>
      </c>
      <c r="J131" t="s">
        <v>24</v>
      </c>
      <c r="K131">
        <v>2445</v>
      </c>
      <c r="L131" s="3">
        <v>30835</v>
      </c>
      <c r="M131" s="5">
        <f t="shared" ref="M131:M194" ca="1" si="4">DATEDIF(L131,TODAY(),"Y")</f>
        <v>41</v>
      </c>
      <c r="N131" t="s">
        <v>38</v>
      </c>
      <c r="O131" t="s">
        <v>32</v>
      </c>
      <c r="P131" s="3">
        <v>40770</v>
      </c>
      <c r="Q131" s="7">
        <f t="shared" ref="Q131:Q194" ca="1" si="5">(TODAY()-P131)/365</f>
        <v>14.676712328767124</v>
      </c>
      <c r="R131" t="s">
        <v>27</v>
      </c>
      <c r="S131" t="s">
        <v>28</v>
      </c>
      <c r="T131">
        <v>30</v>
      </c>
      <c r="U131" t="s">
        <v>35</v>
      </c>
      <c r="V131">
        <v>0</v>
      </c>
      <c r="W131">
        <v>0</v>
      </c>
      <c r="X131">
        <v>16</v>
      </c>
    </row>
    <row r="132" spans="1:24" x14ac:dyDescent="0.3">
      <c r="A132" t="s">
        <v>227</v>
      </c>
      <c r="B132">
        <v>10112</v>
      </c>
      <c r="C132" t="s">
        <v>435</v>
      </c>
      <c r="D132">
        <v>1</v>
      </c>
      <c r="E132">
        <v>3</v>
      </c>
      <c r="F132">
        <v>3</v>
      </c>
      <c r="G132">
        <v>97999</v>
      </c>
      <c r="H132">
        <v>8</v>
      </c>
      <c r="I132" t="s">
        <v>76</v>
      </c>
      <c r="J132" t="s">
        <v>24</v>
      </c>
      <c r="K132">
        <v>2493</v>
      </c>
      <c r="L132" s="3">
        <v>30988</v>
      </c>
      <c r="M132" s="5">
        <f t="shared" ca="1" si="4"/>
        <v>41</v>
      </c>
      <c r="N132" t="s">
        <v>38</v>
      </c>
      <c r="O132" t="s">
        <v>26</v>
      </c>
      <c r="P132" s="3">
        <v>42093</v>
      </c>
      <c r="Q132" s="7">
        <f t="shared" ca="1" si="5"/>
        <v>11.052054794520547</v>
      </c>
      <c r="R132" t="s">
        <v>33</v>
      </c>
      <c r="S132" t="s">
        <v>34</v>
      </c>
      <c r="T132">
        <v>4</v>
      </c>
      <c r="U132" t="s">
        <v>35</v>
      </c>
      <c r="V132">
        <v>6</v>
      </c>
      <c r="W132">
        <v>0</v>
      </c>
      <c r="X132">
        <v>4</v>
      </c>
    </row>
    <row r="133" spans="1:24" x14ac:dyDescent="0.3">
      <c r="A133" t="s">
        <v>228</v>
      </c>
      <c r="B133">
        <v>10272</v>
      </c>
      <c r="C133" t="s">
        <v>435</v>
      </c>
      <c r="D133">
        <v>1</v>
      </c>
      <c r="E133">
        <v>6</v>
      </c>
      <c r="F133">
        <v>3</v>
      </c>
      <c r="G133">
        <v>180000</v>
      </c>
      <c r="H133">
        <v>11</v>
      </c>
      <c r="I133" t="s">
        <v>229</v>
      </c>
      <c r="J133" t="s">
        <v>230</v>
      </c>
      <c r="K133">
        <v>2908</v>
      </c>
      <c r="L133" s="3">
        <v>24291</v>
      </c>
      <c r="M133" s="5">
        <f t="shared" ca="1" si="4"/>
        <v>59</v>
      </c>
      <c r="N133" t="s">
        <v>38</v>
      </c>
      <c r="O133" t="s">
        <v>32</v>
      </c>
      <c r="P133" s="3">
        <v>41764</v>
      </c>
      <c r="Q133" s="7">
        <f t="shared" ca="1" si="5"/>
        <v>11.953424657534246</v>
      </c>
      <c r="R133" t="s">
        <v>103</v>
      </c>
      <c r="S133" t="s">
        <v>93</v>
      </c>
      <c r="T133">
        <v>2</v>
      </c>
      <c r="U133" t="s">
        <v>29</v>
      </c>
      <c r="V133">
        <v>0</v>
      </c>
      <c r="W133">
        <v>0</v>
      </c>
      <c r="X133">
        <v>19</v>
      </c>
    </row>
    <row r="134" spans="1:24" x14ac:dyDescent="0.3">
      <c r="A134" t="s">
        <v>231</v>
      </c>
      <c r="B134">
        <v>10182</v>
      </c>
      <c r="C134" t="s">
        <v>435</v>
      </c>
      <c r="D134">
        <v>1</v>
      </c>
      <c r="E134">
        <v>1</v>
      </c>
      <c r="F134">
        <v>3</v>
      </c>
      <c r="G134">
        <v>49920</v>
      </c>
      <c r="H134">
        <v>2</v>
      </c>
      <c r="I134" t="s">
        <v>232</v>
      </c>
      <c r="J134" t="s">
        <v>24</v>
      </c>
      <c r="K134">
        <v>2170</v>
      </c>
      <c r="L134" s="3">
        <v>31207</v>
      </c>
      <c r="M134" s="5">
        <f t="shared" ca="1" si="4"/>
        <v>40</v>
      </c>
      <c r="N134" t="s">
        <v>38</v>
      </c>
      <c r="O134" t="s">
        <v>32</v>
      </c>
      <c r="P134" s="3">
        <v>42051</v>
      </c>
      <c r="Q134" s="7">
        <f t="shared" ca="1" si="5"/>
        <v>11.167123287671233</v>
      </c>
      <c r="R134" t="s">
        <v>89</v>
      </c>
      <c r="S134" t="s">
        <v>90</v>
      </c>
      <c r="T134">
        <v>1</v>
      </c>
      <c r="U134" t="s">
        <v>35</v>
      </c>
      <c r="V134">
        <v>4</v>
      </c>
      <c r="W134">
        <v>0</v>
      </c>
      <c r="X134">
        <v>6</v>
      </c>
    </row>
    <row r="135" spans="1:24" x14ac:dyDescent="0.3">
      <c r="A135" t="s">
        <v>233</v>
      </c>
      <c r="B135">
        <v>10248</v>
      </c>
      <c r="C135" t="s">
        <v>435</v>
      </c>
      <c r="D135">
        <v>1</v>
      </c>
      <c r="E135">
        <v>5</v>
      </c>
      <c r="F135">
        <v>3</v>
      </c>
      <c r="G135">
        <v>55425</v>
      </c>
      <c r="H135">
        <v>19</v>
      </c>
      <c r="I135" t="s">
        <v>23</v>
      </c>
      <c r="J135" t="s">
        <v>24</v>
      </c>
      <c r="K135">
        <v>2176</v>
      </c>
      <c r="L135" s="3">
        <v>31691</v>
      </c>
      <c r="M135" s="5">
        <f t="shared" ca="1" si="4"/>
        <v>39</v>
      </c>
      <c r="N135" t="s">
        <v>38</v>
      </c>
      <c r="O135" t="s">
        <v>26</v>
      </c>
      <c r="P135" s="3">
        <v>40959</v>
      </c>
      <c r="Q135" s="7">
        <f t="shared" ca="1" si="5"/>
        <v>14.158904109589042</v>
      </c>
      <c r="R135" t="s">
        <v>27</v>
      </c>
      <c r="S135" t="s">
        <v>54</v>
      </c>
      <c r="T135">
        <v>19</v>
      </c>
      <c r="U135" t="s">
        <v>29</v>
      </c>
      <c r="V135">
        <v>0</v>
      </c>
      <c r="W135">
        <v>0</v>
      </c>
      <c r="X135">
        <v>4</v>
      </c>
    </row>
    <row r="136" spans="1:24" x14ac:dyDescent="0.3">
      <c r="A136" t="s">
        <v>234</v>
      </c>
      <c r="B136">
        <v>10201</v>
      </c>
      <c r="C136" t="s">
        <v>435</v>
      </c>
      <c r="D136">
        <v>2</v>
      </c>
      <c r="E136">
        <v>5</v>
      </c>
      <c r="F136">
        <v>3</v>
      </c>
      <c r="G136">
        <v>69340</v>
      </c>
      <c r="H136">
        <v>20</v>
      </c>
      <c r="I136" t="s">
        <v>37</v>
      </c>
      <c r="J136" t="s">
        <v>24</v>
      </c>
      <c r="K136">
        <v>2021</v>
      </c>
      <c r="L136" s="3">
        <v>30989</v>
      </c>
      <c r="M136" s="5">
        <f t="shared" ca="1" si="4"/>
        <v>41</v>
      </c>
      <c r="N136" t="s">
        <v>38</v>
      </c>
      <c r="O136" t="s">
        <v>26</v>
      </c>
      <c r="P136" s="3">
        <v>42527</v>
      </c>
      <c r="Q136" s="7">
        <f t="shared" ca="1" si="5"/>
        <v>9.8630136986301373</v>
      </c>
      <c r="R136" t="s">
        <v>27</v>
      </c>
      <c r="S136" t="s">
        <v>41</v>
      </c>
      <c r="T136">
        <v>16</v>
      </c>
      <c r="U136" t="s">
        <v>29</v>
      </c>
      <c r="V136">
        <v>0</v>
      </c>
      <c r="W136">
        <v>0</v>
      </c>
      <c r="X136">
        <v>4</v>
      </c>
    </row>
    <row r="137" spans="1:24" x14ac:dyDescent="0.3">
      <c r="A137" t="s">
        <v>235</v>
      </c>
      <c r="B137">
        <v>10214</v>
      </c>
      <c r="C137" t="s">
        <v>435</v>
      </c>
      <c r="D137">
        <v>2</v>
      </c>
      <c r="E137">
        <v>5</v>
      </c>
      <c r="F137">
        <v>3</v>
      </c>
      <c r="G137">
        <v>64995</v>
      </c>
      <c r="H137">
        <v>20</v>
      </c>
      <c r="I137" t="s">
        <v>37</v>
      </c>
      <c r="J137" t="s">
        <v>24</v>
      </c>
      <c r="K137">
        <v>2351</v>
      </c>
      <c r="L137" s="3">
        <v>33790</v>
      </c>
      <c r="M137" s="5">
        <f t="shared" ca="1" si="4"/>
        <v>33</v>
      </c>
      <c r="N137" t="s">
        <v>38</v>
      </c>
      <c r="O137" t="s">
        <v>99</v>
      </c>
      <c r="P137" s="3">
        <v>42130</v>
      </c>
      <c r="Q137" s="7">
        <f t="shared" ca="1" si="5"/>
        <v>10.950684931506849</v>
      </c>
      <c r="R137" t="s">
        <v>27</v>
      </c>
      <c r="S137" t="s">
        <v>44</v>
      </c>
      <c r="U137" t="s">
        <v>35</v>
      </c>
      <c r="V137">
        <v>0</v>
      </c>
      <c r="W137">
        <v>0</v>
      </c>
      <c r="X137">
        <v>6</v>
      </c>
    </row>
    <row r="138" spans="1:24" x14ac:dyDescent="0.3">
      <c r="A138" t="s">
        <v>236</v>
      </c>
      <c r="B138">
        <v>10160</v>
      </c>
      <c r="C138" t="s">
        <v>435</v>
      </c>
      <c r="D138">
        <v>5</v>
      </c>
      <c r="E138">
        <v>5</v>
      </c>
      <c r="F138">
        <v>3</v>
      </c>
      <c r="G138">
        <v>68182</v>
      </c>
      <c r="H138">
        <v>20</v>
      </c>
      <c r="I138" t="s">
        <v>37</v>
      </c>
      <c r="J138" t="s">
        <v>24</v>
      </c>
      <c r="K138">
        <v>1742</v>
      </c>
      <c r="L138" s="3">
        <v>27799</v>
      </c>
      <c r="M138" s="5">
        <f t="shared" ca="1" si="4"/>
        <v>50</v>
      </c>
      <c r="N138" t="s">
        <v>38</v>
      </c>
      <c r="O138" t="s">
        <v>43</v>
      </c>
      <c r="P138" s="3">
        <v>40595</v>
      </c>
      <c r="Q138" s="7">
        <f t="shared" ca="1" si="5"/>
        <v>15.156164383561643</v>
      </c>
      <c r="R138" t="s">
        <v>27</v>
      </c>
      <c r="S138" t="s">
        <v>47</v>
      </c>
      <c r="T138">
        <v>11</v>
      </c>
      <c r="U138" t="s">
        <v>45</v>
      </c>
      <c r="V138">
        <v>0</v>
      </c>
      <c r="W138">
        <v>0</v>
      </c>
      <c r="X138">
        <v>18</v>
      </c>
    </row>
    <row r="139" spans="1:24" x14ac:dyDescent="0.3">
      <c r="A139" t="s">
        <v>237</v>
      </c>
      <c r="B139">
        <v>10289</v>
      </c>
      <c r="C139" t="s">
        <v>436</v>
      </c>
      <c r="D139">
        <v>5</v>
      </c>
      <c r="E139">
        <v>5</v>
      </c>
      <c r="F139">
        <v>2</v>
      </c>
      <c r="G139">
        <v>83082</v>
      </c>
      <c r="H139">
        <v>18</v>
      </c>
      <c r="I139" t="s">
        <v>92</v>
      </c>
      <c r="J139" t="s">
        <v>24</v>
      </c>
      <c r="K139">
        <v>2128</v>
      </c>
      <c r="L139" s="3">
        <v>27891</v>
      </c>
      <c r="M139" s="5">
        <f t="shared" ca="1" si="4"/>
        <v>49</v>
      </c>
      <c r="N139" t="s">
        <v>25</v>
      </c>
      <c r="O139" t="s">
        <v>32</v>
      </c>
      <c r="P139" s="3">
        <v>40595</v>
      </c>
      <c r="Q139" s="7">
        <f t="shared" ca="1" si="5"/>
        <v>15.156164383561643</v>
      </c>
      <c r="R139" t="s">
        <v>27</v>
      </c>
      <c r="S139" t="s">
        <v>93</v>
      </c>
      <c r="T139">
        <v>2</v>
      </c>
      <c r="U139" t="s">
        <v>35</v>
      </c>
      <c r="V139">
        <v>0</v>
      </c>
      <c r="W139">
        <v>3</v>
      </c>
      <c r="X139">
        <v>4</v>
      </c>
    </row>
    <row r="140" spans="1:24" x14ac:dyDescent="0.3">
      <c r="A140" t="s">
        <v>238</v>
      </c>
      <c r="B140">
        <v>10139</v>
      </c>
      <c r="C140" t="s">
        <v>435</v>
      </c>
      <c r="D140">
        <v>1</v>
      </c>
      <c r="E140">
        <v>5</v>
      </c>
      <c r="F140">
        <v>3</v>
      </c>
      <c r="G140">
        <v>51908</v>
      </c>
      <c r="H140">
        <v>19</v>
      </c>
      <c r="I140" t="s">
        <v>23</v>
      </c>
      <c r="J140" t="s">
        <v>24</v>
      </c>
      <c r="K140">
        <v>1775</v>
      </c>
      <c r="L140" s="3">
        <v>33451</v>
      </c>
      <c r="M140" s="5">
        <f t="shared" ca="1" si="4"/>
        <v>34</v>
      </c>
      <c r="N140" t="s">
        <v>38</v>
      </c>
      <c r="O140" t="s">
        <v>26</v>
      </c>
      <c r="P140" s="3">
        <v>41505</v>
      </c>
      <c r="Q140" s="7">
        <f t="shared" ca="1" si="5"/>
        <v>12.663013698630136</v>
      </c>
      <c r="R140" t="s">
        <v>27</v>
      </c>
      <c r="S140" t="s">
        <v>57</v>
      </c>
      <c r="T140">
        <v>12</v>
      </c>
      <c r="U140" t="s">
        <v>35</v>
      </c>
      <c r="V140">
        <v>0</v>
      </c>
      <c r="W140">
        <v>0</v>
      </c>
      <c r="X140">
        <v>14</v>
      </c>
    </row>
    <row r="141" spans="1:24" x14ac:dyDescent="0.3">
      <c r="A141" t="s">
        <v>239</v>
      </c>
      <c r="B141">
        <v>10227</v>
      </c>
      <c r="C141" t="s">
        <v>435</v>
      </c>
      <c r="D141">
        <v>1</v>
      </c>
      <c r="E141">
        <v>5</v>
      </c>
      <c r="F141">
        <v>3</v>
      </c>
      <c r="G141">
        <v>61242</v>
      </c>
      <c r="H141">
        <v>19</v>
      </c>
      <c r="I141" t="s">
        <v>23</v>
      </c>
      <c r="J141" t="s">
        <v>24</v>
      </c>
      <c r="K141">
        <v>2081</v>
      </c>
      <c r="L141" s="3">
        <v>26612</v>
      </c>
      <c r="M141" s="5">
        <f t="shared" ca="1" si="4"/>
        <v>53</v>
      </c>
      <c r="N141" t="s">
        <v>38</v>
      </c>
      <c r="O141" t="s">
        <v>26</v>
      </c>
      <c r="P141" s="3">
        <v>41040</v>
      </c>
      <c r="Q141" s="7">
        <f t="shared" ca="1" si="5"/>
        <v>13.936986301369863</v>
      </c>
      <c r="R141" t="s">
        <v>27</v>
      </c>
      <c r="S141" t="s">
        <v>63</v>
      </c>
      <c r="T141">
        <v>14</v>
      </c>
      <c r="U141" t="s">
        <v>29</v>
      </c>
      <c r="V141">
        <v>0</v>
      </c>
      <c r="W141">
        <v>0</v>
      </c>
      <c r="X141">
        <v>7</v>
      </c>
    </row>
    <row r="142" spans="1:24" x14ac:dyDescent="0.3">
      <c r="A142" t="s">
        <v>240</v>
      </c>
      <c r="B142">
        <v>10236</v>
      </c>
      <c r="C142" t="s">
        <v>435</v>
      </c>
      <c r="D142">
        <v>1</v>
      </c>
      <c r="E142">
        <v>5</v>
      </c>
      <c r="F142">
        <v>3</v>
      </c>
      <c r="G142">
        <v>45069</v>
      </c>
      <c r="H142">
        <v>19</v>
      </c>
      <c r="I142" t="s">
        <v>23</v>
      </c>
      <c r="J142" t="s">
        <v>24</v>
      </c>
      <c r="K142">
        <v>1778</v>
      </c>
      <c r="L142" s="3">
        <v>24444</v>
      </c>
      <c r="M142" s="5">
        <f t="shared" ca="1" si="4"/>
        <v>59</v>
      </c>
      <c r="N142" t="s">
        <v>38</v>
      </c>
      <c r="O142" t="s">
        <v>43</v>
      </c>
      <c r="P142" s="3">
        <v>41547</v>
      </c>
      <c r="Q142" s="7">
        <f t="shared" ca="1" si="5"/>
        <v>12.547945205479452</v>
      </c>
      <c r="R142" t="s">
        <v>27</v>
      </c>
      <c r="S142" t="s">
        <v>39</v>
      </c>
      <c r="T142">
        <v>20</v>
      </c>
      <c r="U142" t="s">
        <v>55</v>
      </c>
      <c r="V142">
        <v>0</v>
      </c>
      <c r="W142">
        <v>0</v>
      </c>
      <c r="X142">
        <v>7</v>
      </c>
    </row>
    <row r="143" spans="1:24" x14ac:dyDescent="0.3">
      <c r="A143" t="s">
        <v>241</v>
      </c>
      <c r="B143">
        <v>10009</v>
      </c>
      <c r="C143" t="s">
        <v>435</v>
      </c>
      <c r="D143">
        <v>1</v>
      </c>
      <c r="E143">
        <v>5</v>
      </c>
      <c r="F143">
        <v>4</v>
      </c>
      <c r="G143">
        <v>60724</v>
      </c>
      <c r="H143">
        <v>20</v>
      </c>
      <c r="I143" t="s">
        <v>37</v>
      </c>
      <c r="J143" t="s">
        <v>24</v>
      </c>
      <c r="K143">
        <v>1821</v>
      </c>
      <c r="L143" s="3">
        <v>31574</v>
      </c>
      <c r="M143" s="5">
        <f t="shared" ca="1" si="4"/>
        <v>39</v>
      </c>
      <c r="N143" t="s">
        <v>38</v>
      </c>
      <c r="O143" t="s">
        <v>43</v>
      </c>
      <c r="P143" s="3">
        <v>40670</v>
      </c>
      <c r="Q143" s="7">
        <f t="shared" ca="1" si="5"/>
        <v>14.950684931506849</v>
      </c>
      <c r="R143" t="s">
        <v>27</v>
      </c>
      <c r="S143" t="s">
        <v>54</v>
      </c>
      <c r="T143">
        <v>19</v>
      </c>
      <c r="U143" t="s">
        <v>29</v>
      </c>
      <c r="V143">
        <v>0</v>
      </c>
      <c r="W143">
        <v>0</v>
      </c>
      <c r="X143">
        <v>11</v>
      </c>
    </row>
    <row r="144" spans="1:24" x14ac:dyDescent="0.3">
      <c r="A144" t="s">
        <v>242</v>
      </c>
      <c r="B144">
        <v>10060</v>
      </c>
      <c r="C144" t="s">
        <v>435</v>
      </c>
      <c r="D144">
        <v>1</v>
      </c>
      <c r="E144">
        <v>5</v>
      </c>
      <c r="F144">
        <v>3</v>
      </c>
      <c r="G144">
        <v>60436</v>
      </c>
      <c r="H144">
        <v>19</v>
      </c>
      <c r="I144" t="s">
        <v>23</v>
      </c>
      <c r="J144" t="s">
        <v>24</v>
      </c>
      <c r="K144">
        <v>2109</v>
      </c>
      <c r="L144" s="3">
        <v>23440</v>
      </c>
      <c r="M144" s="5">
        <f t="shared" ca="1" si="4"/>
        <v>62</v>
      </c>
      <c r="N144" t="s">
        <v>38</v>
      </c>
      <c r="O144" t="s">
        <v>99</v>
      </c>
      <c r="P144" s="3">
        <v>41791</v>
      </c>
      <c r="Q144" s="7">
        <f t="shared" ca="1" si="5"/>
        <v>11.87945205479452</v>
      </c>
      <c r="R144" t="s">
        <v>27</v>
      </c>
      <c r="S144" t="s">
        <v>69</v>
      </c>
      <c r="T144">
        <v>18</v>
      </c>
      <c r="U144" t="s">
        <v>29</v>
      </c>
      <c r="V144">
        <v>0</v>
      </c>
      <c r="W144">
        <v>0</v>
      </c>
      <c r="X144">
        <v>9</v>
      </c>
    </row>
    <row r="145" spans="1:24" x14ac:dyDescent="0.3">
      <c r="A145" t="s">
        <v>243</v>
      </c>
      <c r="B145">
        <v>10034</v>
      </c>
      <c r="C145" t="s">
        <v>436</v>
      </c>
      <c r="D145">
        <v>5</v>
      </c>
      <c r="E145">
        <v>5</v>
      </c>
      <c r="F145">
        <v>4</v>
      </c>
      <c r="G145">
        <v>46837</v>
      </c>
      <c r="H145">
        <v>19</v>
      </c>
      <c r="I145" t="s">
        <v>23</v>
      </c>
      <c r="J145" t="s">
        <v>24</v>
      </c>
      <c r="K145">
        <v>2445</v>
      </c>
      <c r="L145" s="3">
        <v>21801</v>
      </c>
      <c r="M145" s="5">
        <f t="shared" ca="1" si="4"/>
        <v>66</v>
      </c>
      <c r="N145" t="s">
        <v>25</v>
      </c>
      <c r="O145" t="s">
        <v>32</v>
      </c>
      <c r="P145" s="3">
        <v>40735</v>
      </c>
      <c r="Q145" s="7">
        <f t="shared" ca="1" si="5"/>
        <v>14.772602739726027</v>
      </c>
      <c r="R145" t="s">
        <v>27</v>
      </c>
      <c r="S145" t="s">
        <v>28</v>
      </c>
      <c r="T145">
        <v>22</v>
      </c>
      <c r="U145" t="s">
        <v>82</v>
      </c>
      <c r="V145">
        <v>0</v>
      </c>
      <c r="W145">
        <v>0</v>
      </c>
      <c r="X145">
        <v>9</v>
      </c>
    </row>
    <row r="146" spans="1:24" x14ac:dyDescent="0.3">
      <c r="A146" t="s">
        <v>244</v>
      </c>
      <c r="B146">
        <v>10156</v>
      </c>
      <c r="C146" t="s">
        <v>435</v>
      </c>
      <c r="D146">
        <v>3</v>
      </c>
      <c r="E146">
        <v>3</v>
      </c>
      <c r="F146">
        <v>3</v>
      </c>
      <c r="G146">
        <v>105700</v>
      </c>
      <c r="H146">
        <v>8</v>
      </c>
      <c r="I146" t="s">
        <v>76</v>
      </c>
      <c r="J146" t="s">
        <v>24</v>
      </c>
      <c r="K146">
        <v>2301</v>
      </c>
      <c r="L146" s="3">
        <v>31604</v>
      </c>
      <c r="M146" s="5">
        <f t="shared" ca="1" si="4"/>
        <v>39</v>
      </c>
      <c r="N146" t="s">
        <v>38</v>
      </c>
      <c r="O146" t="s">
        <v>32</v>
      </c>
      <c r="P146" s="3">
        <v>42125</v>
      </c>
      <c r="Q146" s="7">
        <f t="shared" ca="1" si="5"/>
        <v>10.964383561643835</v>
      </c>
      <c r="R146" t="s">
        <v>33</v>
      </c>
      <c r="S146" t="s">
        <v>34</v>
      </c>
      <c r="T146">
        <v>4</v>
      </c>
      <c r="U146" t="s">
        <v>35</v>
      </c>
      <c r="V146">
        <v>5</v>
      </c>
      <c r="W146">
        <v>0</v>
      </c>
      <c r="X146">
        <v>2</v>
      </c>
    </row>
    <row r="147" spans="1:24" x14ac:dyDescent="0.3">
      <c r="A147" t="s">
        <v>245</v>
      </c>
      <c r="B147">
        <v>10036</v>
      </c>
      <c r="C147" t="s">
        <v>435</v>
      </c>
      <c r="D147">
        <v>1</v>
      </c>
      <c r="E147">
        <v>5</v>
      </c>
      <c r="F147">
        <v>4</v>
      </c>
      <c r="G147">
        <v>63322</v>
      </c>
      <c r="H147">
        <v>20</v>
      </c>
      <c r="I147" t="s">
        <v>37</v>
      </c>
      <c r="J147" t="s">
        <v>24</v>
      </c>
      <c r="K147">
        <v>2128</v>
      </c>
      <c r="L147" s="3">
        <v>25424</v>
      </c>
      <c r="M147" s="5">
        <f t="shared" ca="1" si="4"/>
        <v>56</v>
      </c>
      <c r="N147" t="s">
        <v>38</v>
      </c>
      <c r="O147" t="s">
        <v>26</v>
      </c>
      <c r="P147" s="3">
        <v>41827</v>
      </c>
      <c r="Q147" s="7">
        <f t="shared" ca="1" si="5"/>
        <v>11.780821917808218</v>
      </c>
      <c r="R147" t="s">
        <v>27</v>
      </c>
      <c r="S147" t="s">
        <v>57</v>
      </c>
      <c r="T147">
        <v>12</v>
      </c>
      <c r="U147" t="s">
        <v>29</v>
      </c>
      <c r="V147">
        <v>0</v>
      </c>
      <c r="W147">
        <v>0</v>
      </c>
      <c r="X147">
        <v>1</v>
      </c>
    </row>
    <row r="148" spans="1:24" x14ac:dyDescent="0.3">
      <c r="A148" t="s">
        <v>246</v>
      </c>
      <c r="B148">
        <v>10138</v>
      </c>
      <c r="C148" t="s">
        <v>435</v>
      </c>
      <c r="D148">
        <v>5</v>
      </c>
      <c r="E148">
        <v>5</v>
      </c>
      <c r="F148">
        <v>3</v>
      </c>
      <c r="G148">
        <v>61154</v>
      </c>
      <c r="H148">
        <v>19</v>
      </c>
      <c r="I148" t="s">
        <v>23</v>
      </c>
      <c r="J148" t="s">
        <v>24</v>
      </c>
      <c r="K148">
        <v>2446</v>
      </c>
      <c r="L148" s="3">
        <v>31597</v>
      </c>
      <c r="M148" s="5">
        <f t="shared" ca="1" si="4"/>
        <v>39</v>
      </c>
      <c r="N148" t="s">
        <v>38</v>
      </c>
      <c r="O148" t="s">
        <v>32</v>
      </c>
      <c r="P148" s="3">
        <v>40817</v>
      </c>
      <c r="Q148" s="7">
        <f t="shared" ca="1" si="5"/>
        <v>14.547945205479452</v>
      </c>
      <c r="R148" t="s">
        <v>27</v>
      </c>
      <c r="S148" t="s">
        <v>41</v>
      </c>
      <c r="T148">
        <v>16</v>
      </c>
      <c r="U148" t="s">
        <v>82</v>
      </c>
      <c r="V148">
        <v>0</v>
      </c>
      <c r="W148">
        <v>0</v>
      </c>
      <c r="X148">
        <v>4</v>
      </c>
    </row>
    <row r="149" spans="1:24" x14ac:dyDescent="0.3">
      <c r="A149" t="s">
        <v>247</v>
      </c>
      <c r="B149">
        <v>10244</v>
      </c>
      <c r="C149" t="s">
        <v>435</v>
      </c>
      <c r="D149">
        <v>5</v>
      </c>
      <c r="E149">
        <v>6</v>
      </c>
      <c r="F149">
        <v>3</v>
      </c>
      <c r="G149">
        <v>68999</v>
      </c>
      <c r="H149">
        <v>21</v>
      </c>
      <c r="I149" t="s">
        <v>141</v>
      </c>
      <c r="J149" t="s">
        <v>248</v>
      </c>
      <c r="K149">
        <v>19444</v>
      </c>
      <c r="L149" s="3">
        <v>32823</v>
      </c>
      <c r="M149" s="5">
        <f t="shared" ca="1" si="4"/>
        <v>36</v>
      </c>
      <c r="N149" t="s">
        <v>38</v>
      </c>
      <c r="O149" t="s">
        <v>26</v>
      </c>
      <c r="P149" s="3">
        <v>40735</v>
      </c>
      <c r="Q149" s="7">
        <f t="shared" ca="1" si="5"/>
        <v>14.772602739726027</v>
      </c>
      <c r="R149" t="s">
        <v>103</v>
      </c>
      <c r="S149" t="s">
        <v>142</v>
      </c>
      <c r="T149">
        <v>15</v>
      </c>
      <c r="U149" t="s">
        <v>45</v>
      </c>
      <c r="V149">
        <v>0</v>
      </c>
      <c r="W149">
        <v>0</v>
      </c>
      <c r="X149">
        <v>2</v>
      </c>
    </row>
    <row r="150" spans="1:24" x14ac:dyDescent="0.3">
      <c r="A150" t="s">
        <v>249</v>
      </c>
      <c r="B150">
        <v>10192</v>
      </c>
      <c r="C150" t="s">
        <v>436</v>
      </c>
      <c r="D150">
        <v>1</v>
      </c>
      <c r="E150">
        <v>5</v>
      </c>
      <c r="F150">
        <v>3</v>
      </c>
      <c r="G150">
        <v>50482</v>
      </c>
      <c r="H150">
        <v>19</v>
      </c>
      <c r="I150" t="s">
        <v>23</v>
      </c>
      <c r="J150" t="s">
        <v>24</v>
      </c>
      <c r="K150">
        <v>1887</v>
      </c>
      <c r="L150" s="3">
        <v>28004</v>
      </c>
      <c r="M150" s="5">
        <f t="shared" ca="1" si="4"/>
        <v>49</v>
      </c>
      <c r="N150" t="s">
        <v>25</v>
      </c>
      <c r="O150" t="s">
        <v>26</v>
      </c>
      <c r="P150" s="3">
        <v>41547</v>
      </c>
      <c r="Q150" s="7">
        <f t="shared" ca="1" si="5"/>
        <v>12.547945205479452</v>
      </c>
      <c r="R150" t="s">
        <v>27</v>
      </c>
      <c r="S150" t="s">
        <v>28</v>
      </c>
      <c r="T150">
        <v>22</v>
      </c>
      <c r="U150" t="s">
        <v>35</v>
      </c>
      <c r="V150">
        <v>0</v>
      </c>
      <c r="W150">
        <v>0</v>
      </c>
      <c r="X150">
        <v>10</v>
      </c>
    </row>
    <row r="151" spans="1:24" x14ac:dyDescent="0.3">
      <c r="A151" t="s">
        <v>250</v>
      </c>
      <c r="B151">
        <v>10231</v>
      </c>
      <c r="C151" t="s">
        <v>436</v>
      </c>
      <c r="D151">
        <v>1</v>
      </c>
      <c r="E151">
        <v>6</v>
      </c>
      <c r="F151">
        <v>3</v>
      </c>
      <c r="G151">
        <v>65310</v>
      </c>
      <c r="H151">
        <v>3</v>
      </c>
      <c r="I151" t="s">
        <v>101</v>
      </c>
      <c r="J151" t="s">
        <v>251</v>
      </c>
      <c r="K151">
        <v>80820</v>
      </c>
      <c r="L151" s="3">
        <v>29047</v>
      </c>
      <c r="M151" s="5">
        <f t="shared" ca="1" si="4"/>
        <v>46</v>
      </c>
      <c r="N151" t="s">
        <v>25</v>
      </c>
      <c r="O151" t="s">
        <v>26</v>
      </c>
      <c r="P151" s="3">
        <v>41505</v>
      </c>
      <c r="Q151" s="7">
        <f t="shared" ca="1" si="5"/>
        <v>12.663013698630136</v>
      </c>
      <c r="R151" t="s">
        <v>103</v>
      </c>
      <c r="S151" t="s">
        <v>122</v>
      </c>
      <c r="T151">
        <v>21</v>
      </c>
      <c r="U151" t="s">
        <v>35</v>
      </c>
      <c r="V151">
        <v>0</v>
      </c>
      <c r="W151">
        <v>0</v>
      </c>
      <c r="X151">
        <v>13</v>
      </c>
    </row>
    <row r="152" spans="1:24" x14ac:dyDescent="0.3">
      <c r="A152" t="s">
        <v>252</v>
      </c>
      <c r="B152">
        <v>10089</v>
      </c>
      <c r="C152" t="s">
        <v>435</v>
      </c>
      <c r="D152">
        <v>1</v>
      </c>
      <c r="E152">
        <v>2</v>
      </c>
      <c r="F152">
        <v>3</v>
      </c>
      <c r="G152">
        <v>250000</v>
      </c>
      <c r="H152">
        <v>16</v>
      </c>
      <c r="I152" t="s">
        <v>253</v>
      </c>
      <c r="J152" t="s">
        <v>24</v>
      </c>
      <c r="K152">
        <v>1902</v>
      </c>
      <c r="L152" s="3">
        <v>19733</v>
      </c>
      <c r="M152" s="5">
        <f t="shared" ca="1" si="4"/>
        <v>72</v>
      </c>
      <c r="N152" t="s">
        <v>38</v>
      </c>
      <c r="O152" t="s">
        <v>32</v>
      </c>
      <c r="P152" s="3">
        <v>40946</v>
      </c>
      <c r="Q152" s="7">
        <f t="shared" ca="1" si="5"/>
        <v>14.194520547945206</v>
      </c>
      <c r="R152" t="s">
        <v>254</v>
      </c>
      <c r="S152" t="s">
        <v>189</v>
      </c>
      <c r="T152">
        <v>9</v>
      </c>
      <c r="U152" t="s">
        <v>35</v>
      </c>
      <c r="V152">
        <v>0</v>
      </c>
      <c r="W152">
        <v>0</v>
      </c>
      <c r="X152">
        <v>10</v>
      </c>
    </row>
    <row r="153" spans="1:24" x14ac:dyDescent="0.3">
      <c r="A153" t="s">
        <v>255</v>
      </c>
      <c r="B153">
        <v>10166</v>
      </c>
      <c r="C153" t="s">
        <v>435</v>
      </c>
      <c r="D153">
        <v>5</v>
      </c>
      <c r="E153">
        <v>5</v>
      </c>
      <c r="F153">
        <v>3</v>
      </c>
      <c r="G153">
        <v>54005</v>
      </c>
      <c r="H153">
        <v>19</v>
      </c>
      <c r="I153" t="s">
        <v>23</v>
      </c>
      <c r="J153" t="s">
        <v>24</v>
      </c>
      <c r="K153">
        <v>2170</v>
      </c>
      <c r="L153" s="3">
        <v>26888</v>
      </c>
      <c r="M153" s="5">
        <f t="shared" ca="1" si="4"/>
        <v>52</v>
      </c>
      <c r="N153" t="s">
        <v>38</v>
      </c>
      <c r="O153" t="s">
        <v>32</v>
      </c>
      <c r="P153" s="3">
        <v>40812</v>
      </c>
      <c r="Q153" s="7">
        <f t="shared" ca="1" si="5"/>
        <v>14.561643835616438</v>
      </c>
      <c r="R153" t="s">
        <v>27</v>
      </c>
      <c r="S153" t="s">
        <v>44</v>
      </c>
      <c r="T153">
        <v>39</v>
      </c>
      <c r="U153" t="s">
        <v>45</v>
      </c>
      <c r="V153">
        <v>0</v>
      </c>
      <c r="W153">
        <v>0</v>
      </c>
      <c r="X153">
        <v>16</v>
      </c>
    </row>
    <row r="154" spans="1:24" x14ac:dyDescent="0.3">
      <c r="A154" t="s">
        <v>256</v>
      </c>
      <c r="B154">
        <v>10170</v>
      </c>
      <c r="C154" t="s">
        <v>435</v>
      </c>
      <c r="D154">
        <v>5</v>
      </c>
      <c r="E154">
        <v>5</v>
      </c>
      <c r="F154">
        <v>3</v>
      </c>
      <c r="G154">
        <v>45433</v>
      </c>
      <c r="H154">
        <v>19</v>
      </c>
      <c r="I154" t="s">
        <v>23</v>
      </c>
      <c r="J154" t="s">
        <v>24</v>
      </c>
      <c r="K154">
        <v>2127</v>
      </c>
      <c r="L154" s="3">
        <v>25790</v>
      </c>
      <c r="M154" s="5">
        <f t="shared" ca="1" si="4"/>
        <v>55</v>
      </c>
      <c r="N154" t="s">
        <v>38</v>
      </c>
      <c r="O154" t="s">
        <v>32</v>
      </c>
      <c r="P154" s="3">
        <v>40812</v>
      </c>
      <c r="Q154" s="7">
        <f t="shared" ca="1" si="5"/>
        <v>14.561643835616438</v>
      </c>
      <c r="R154" t="s">
        <v>27</v>
      </c>
      <c r="S154" t="s">
        <v>47</v>
      </c>
      <c r="T154">
        <v>11</v>
      </c>
      <c r="U154" t="s">
        <v>45</v>
      </c>
      <c r="V154">
        <v>0</v>
      </c>
      <c r="W154">
        <v>0</v>
      </c>
      <c r="X154">
        <v>6</v>
      </c>
    </row>
    <row r="155" spans="1:24" x14ac:dyDescent="0.3">
      <c r="A155" t="s">
        <v>257</v>
      </c>
      <c r="B155">
        <v>10208</v>
      </c>
      <c r="C155" t="s">
        <v>436</v>
      </c>
      <c r="D155">
        <v>1</v>
      </c>
      <c r="E155">
        <v>5</v>
      </c>
      <c r="F155">
        <v>3</v>
      </c>
      <c r="G155">
        <v>46654</v>
      </c>
      <c r="H155">
        <v>19</v>
      </c>
      <c r="I155" t="s">
        <v>23</v>
      </c>
      <c r="J155" t="s">
        <v>24</v>
      </c>
      <c r="K155">
        <v>1721</v>
      </c>
      <c r="L155" s="3">
        <v>28409</v>
      </c>
      <c r="M155" s="5">
        <f t="shared" ca="1" si="4"/>
        <v>48</v>
      </c>
      <c r="N155" t="s">
        <v>25</v>
      </c>
      <c r="O155" t="s">
        <v>26</v>
      </c>
      <c r="P155" s="3">
        <v>41687</v>
      </c>
      <c r="Q155" s="7">
        <f t="shared" ca="1" si="5"/>
        <v>12.164383561643836</v>
      </c>
      <c r="R155" t="s">
        <v>27</v>
      </c>
      <c r="S155" t="s">
        <v>54</v>
      </c>
      <c r="T155">
        <v>19</v>
      </c>
      <c r="U155" t="s">
        <v>29</v>
      </c>
      <c r="V155">
        <v>0</v>
      </c>
      <c r="W155">
        <v>0</v>
      </c>
      <c r="X155">
        <v>3</v>
      </c>
    </row>
    <row r="156" spans="1:24" x14ac:dyDescent="0.3">
      <c r="A156" t="s">
        <v>258</v>
      </c>
      <c r="B156">
        <v>10176</v>
      </c>
      <c r="C156" t="s">
        <v>436</v>
      </c>
      <c r="D156">
        <v>1</v>
      </c>
      <c r="E156">
        <v>5</v>
      </c>
      <c r="F156">
        <v>3</v>
      </c>
      <c r="G156">
        <v>63973</v>
      </c>
      <c r="H156">
        <v>19</v>
      </c>
      <c r="I156" t="s">
        <v>23</v>
      </c>
      <c r="J156" t="s">
        <v>24</v>
      </c>
      <c r="K156">
        <v>1801</v>
      </c>
      <c r="L156" s="3">
        <v>29253</v>
      </c>
      <c r="M156" s="5">
        <f t="shared" ca="1" si="4"/>
        <v>46</v>
      </c>
      <c r="N156" t="s">
        <v>25</v>
      </c>
      <c r="O156" t="s">
        <v>32</v>
      </c>
      <c r="P156" s="3">
        <v>40817</v>
      </c>
      <c r="Q156" s="7">
        <f t="shared" ca="1" si="5"/>
        <v>14.547945205479452</v>
      </c>
      <c r="R156" t="s">
        <v>27</v>
      </c>
      <c r="S156" t="s">
        <v>57</v>
      </c>
      <c r="T156">
        <v>12</v>
      </c>
      <c r="U156" t="s">
        <v>35</v>
      </c>
      <c r="V156">
        <v>0</v>
      </c>
      <c r="W156">
        <v>0</v>
      </c>
      <c r="X156">
        <v>17</v>
      </c>
    </row>
    <row r="157" spans="1:24" x14ac:dyDescent="0.3">
      <c r="A157" t="s">
        <v>259</v>
      </c>
      <c r="B157">
        <v>10165</v>
      </c>
      <c r="C157" t="s">
        <v>436</v>
      </c>
      <c r="D157">
        <v>1</v>
      </c>
      <c r="E157">
        <v>6</v>
      </c>
      <c r="F157">
        <v>3</v>
      </c>
      <c r="G157">
        <v>71339</v>
      </c>
      <c r="H157">
        <v>3</v>
      </c>
      <c r="I157" t="s">
        <v>101</v>
      </c>
      <c r="J157" t="s">
        <v>260</v>
      </c>
      <c r="K157">
        <v>10171</v>
      </c>
      <c r="L157" s="3">
        <v>25295</v>
      </c>
      <c r="M157" s="5">
        <f t="shared" ca="1" si="4"/>
        <v>57</v>
      </c>
      <c r="N157" t="s">
        <v>25</v>
      </c>
      <c r="O157" t="s">
        <v>26</v>
      </c>
      <c r="P157" s="3">
        <v>40727</v>
      </c>
      <c r="Q157" s="7">
        <f t="shared" ca="1" si="5"/>
        <v>14.794520547945206</v>
      </c>
      <c r="R157" t="s">
        <v>103</v>
      </c>
      <c r="S157" t="s">
        <v>104</v>
      </c>
      <c r="T157">
        <v>17</v>
      </c>
      <c r="U157" t="s">
        <v>58</v>
      </c>
      <c r="V157">
        <v>0</v>
      </c>
      <c r="W157">
        <v>0</v>
      </c>
      <c r="X157">
        <v>20</v>
      </c>
    </row>
    <row r="158" spans="1:24" x14ac:dyDescent="0.3">
      <c r="A158" t="s">
        <v>261</v>
      </c>
      <c r="B158">
        <v>10113</v>
      </c>
      <c r="C158" t="s">
        <v>436</v>
      </c>
      <c r="D158">
        <v>3</v>
      </c>
      <c r="E158">
        <v>3</v>
      </c>
      <c r="F158">
        <v>3</v>
      </c>
      <c r="G158">
        <v>93206</v>
      </c>
      <c r="H158">
        <v>28</v>
      </c>
      <c r="I158" t="s">
        <v>139</v>
      </c>
      <c r="J158" t="s">
        <v>24</v>
      </c>
      <c r="K158">
        <v>2169</v>
      </c>
      <c r="L158" s="3">
        <v>31475</v>
      </c>
      <c r="M158" s="5">
        <f t="shared" ca="1" si="4"/>
        <v>40</v>
      </c>
      <c r="N158" t="s">
        <v>25</v>
      </c>
      <c r="O158" t="s">
        <v>32</v>
      </c>
      <c r="P158" s="3">
        <v>41923</v>
      </c>
      <c r="Q158" s="7">
        <f t="shared" ca="1" si="5"/>
        <v>11.517808219178082</v>
      </c>
      <c r="R158" t="s">
        <v>33</v>
      </c>
      <c r="S158" t="s">
        <v>61</v>
      </c>
      <c r="T158">
        <v>7</v>
      </c>
      <c r="U158" t="s">
        <v>55</v>
      </c>
      <c r="V158">
        <v>6</v>
      </c>
      <c r="W158">
        <v>0</v>
      </c>
      <c r="X158">
        <v>7</v>
      </c>
    </row>
    <row r="159" spans="1:24" x14ac:dyDescent="0.3">
      <c r="A159" t="s">
        <v>262</v>
      </c>
      <c r="B159">
        <v>10092</v>
      </c>
      <c r="C159" t="s">
        <v>436</v>
      </c>
      <c r="D159">
        <v>4</v>
      </c>
      <c r="E159">
        <v>5</v>
      </c>
      <c r="F159">
        <v>3</v>
      </c>
      <c r="G159">
        <v>82758</v>
      </c>
      <c r="H159">
        <v>18</v>
      </c>
      <c r="I159" t="s">
        <v>92</v>
      </c>
      <c r="J159" t="s">
        <v>24</v>
      </c>
      <c r="K159">
        <v>1890</v>
      </c>
      <c r="L159" s="3">
        <v>26305</v>
      </c>
      <c r="M159" s="5">
        <f t="shared" ca="1" si="4"/>
        <v>54</v>
      </c>
      <c r="N159" t="s">
        <v>25</v>
      </c>
      <c r="O159" t="s">
        <v>32</v>
      </c>
      <c r="P159" s="3">
        <v>40817</v>
      </c>
      <c r="Q159" s="7">
        <f t="shared" ca="1" si="5"/>
        <v>14.547945205479452</v>
      </c>
      <c r="R159" t="s">
        <v>27</v>
      </c>
      <c r="S159" t="s">
        <v>93</v>
      </c>
      <c r="T159">
        <v>2</v>
      </c>
      <c r="U159" t="s">
        <v>55</v>
      </c>
      <c r="V159">
        <v>0</v>
      </c>
      <c r="W159">
        <v>0</v>
      </c>
      <c r="X159">
        <v>9</v>
      </c>
    </row>
    <row r="160" spans="1:24" x14ac:dyDescent="0.3">
      <c r="A160" t="s">
        <v>263</v>
      </c>
      <c r="B160">
        <v>10106</v>
      </c>
      <c r="C160" t="s">
        <v>435</v>
      </c>
      <c r="D160">
        <v>5</v>
      </c>
      <c r="E160">
        <v>5</v>
      </c>
      <c r="F160">
        <v>3</v>
      </c>
      <c r="G160">
        <v>66074</v>
      </c>
      <c r="H160">
        <v>20</v>
      </c>
      <c r="I160" t="s">
        <v>37</v>
      </c>
      <c r="J160" t="s">
        <v>24</v>
      </c>
      <c r="K160">
        <v>2090</v>
      </c>
      <c r="L160" s="3">
        <v>28982</v>
      </c>
      <c r="M160" s="5">
        <f t="shared" ca="1" si="4"/>
        <v>46</v>
      </c>
      <c r="N160" t="s">
        <v>38</v>
      </c>
      <c r="O160" t="s">
        <v>43</v>
      </c>
      <c r="P160" s="3">
        <v>41456</v>
      </c>
      <c r="Q160" s="7">
        <f t="shared" ca="1" si="5"/>
        <v>12.797260273972602</v>
      </c>
      <c r="R160" t="s">
        <v>27</v>
      </c>
      <c r="S160" t="s">
        <v>63</v>
      </c>
      <c r="T160">
        <v>14</v>
      </c>
      <c r="U160" t="s">
        <v>35</v>
      </c>
      <c r="V160">
        <v>0</v>
      </c>
      <c r="W160">
        <v>0</v>
      </c>
      <c r="X160">
        <v>20</v>
      </c>
    </row>
    <row r="161" spans="1:24" x14ac:dyDescent="0.3">
      <c r="A161" t="s">
        <v>264</v>
      </c>
      <c r="B161">
        <v>10052</v>
      </c>
      <c r="C161" t="s">
        <v>436</v>
      </c>
      <c r="D161">
        <v>1</v>
      </c>
      <c r="E161">
        <v>5</v>
      </c>
      <c r="F161">
        <v>3</v>
      </c>
      <c r="G161">
        <v>46120</v>
      </c>
      <c r="H161">
        <v>19</v>
      </c>
      <c r="I161" t="s">
        <v>23</v>
      </c>
      <c r="J161" t="s">
        <v>24</v>
      </c>
      <c r="K161">
        <v>2048</v>
      </c>
      <c r="L161" s="3">
        <v>31667</v>
      </c>
      <c r="M161" s="5">
        <f t="shared" ca="1" si="4"/>
        <v>39</v>
      </c>
      <c r="N161" t="s">
        <v>25</v>
      </c>
      <c r="O161" t="s">
        <v>32</v>
      </c>
      <c r="P161" s="3">
        <v>41159</v>
      </c>
      <c r="Q161" s="7">
        <f t="shared" ca="1" si="5"/>
        <v>13.610958904109589</v>
      </c>
      <c r="R161" t="s">
        <v>27</v>
      </c>
      <c r="S161" t="s">
        <v>63</v>
      </c>
      <c r="T161">
        <v>14</v>
      </c>
      <c r="U161" t="s">
        <v>29</v>
      </c>
      <c r="V161">
        <v>0</v>
      </c>
      <c r="W161">
        <v>0</v>
      </c>
      <c r="X161">
        <v>13</v>
      </c>
    </row>
    <row r="162" spans="1:24" x14ac:dyDescent="0.3">
      <c r="A162" t="s">
        <v>265</v>
      </c>
      <c r="B162">
        <v>10038</v>
      </c>
      <c r="C162" t="s">
        <v>436</v>
      </c>
      <c r="D162">
        <v>1</v>
      </c>
      <c r="E162">
        <v>1</v>
      </c>
      <c r="F162">
        <v>3</v>
      </c>
      <c r="G162">
        <v>64520</v>
      </c>
      <c r="H162">
        <v>1</v>
      </c>
      <c r="I162" t="s">
        <v>96</v>
      </c>
      <c r="J162" t="s">
        <v>24</v>
      </c>
      <c r="K162">
        <v>1460</v>
      </c>
      <c r="L162" s="3">
        <v>30837</v>
      </c>
      <c r="M162" s="5">
        <f t="shared" ca="1" si="4"/>
        <v>41</v>
      </c>
      <c r="N162" t="s">
        <v>25</v>
      </c>
      <c r="O162" t="s">
        <v>43</v>
      </c>
      <c r="P162" s="3">
        <v>41791</v>
      </c>
      <c r="Q162" s="7">
        <f t="shared" ca="1" si="5"/>
        <v>11.87945205479452</v>
      </c>
      <c r="R162" t="s">
        <v>89</v>
      </c>
      <c r="S162" t="s">
        <v>90</v>
      </c>
      <c r="T162">
        <v>1</v>
      </c>
      <c r="U162" t="s">
        <v>159</v>
      </c>
      <c r="V162">
        <v>4</v>
      </c>
      <c r="W162">
        <v>0</v>
      </c>
      <c r="X162">
        <v>3</v>
      </c>
    </row>
    <row r="163" spans="1:24" x14ac:dyDescent="0.3">
      <c r="A163" t="s">
        <v>266</v>
      </c>
      <c r="B163">
        <v>10249</v>
      </c>
      <c r="C163" t="s">
        <v>436</v>
      </c>
      <c r="D163">
        <v>5</v>
      </c>
      <c r="E163">
        <v>5</v>
      </c>
      <c r="F163">
        <v>3</v>
      </c>
      <c r="G163">
        <v>61962</v>
      </c>
      <c r="H163">
        <v>20</v>
      </c>
      <c r="I163" t="s">
        <v>37</v>
      </c>
      <c r="J163" t="s">
        <v>24</v>
      </c>
      <c r="K163">
        <v>2126</v>
      </c>
      <c r="L163" s="3">
        <v>30930</v>
      </c>
      <c r="M163" s="5">
        <f t="shared" ca="1" si="4"/>
        <v>41</v>
      </c>
      <c r="N163" t="s">
        <v>25</v>
      </c>
      <c r="O163" t="s">
        <v>32</v>
      </c>
      <c r="P163" s="3">
        <v>40943</v>
      </c>
      <c r="Q163" s="7">
        <f t="shared" ca="1" si="5"/>
        <v>14.202739726027398</v>
      </c>
      <c r="R163" t="s">
        <v>27</v>
      </c>
      <c r="S163" t="s">
        <v>39</v>
      </c>
      <c r="T163">
        <v>20</v>
      </c>
      <c r="U163" t="s">
        <v>45</v>
      </c>
      <c r="V163">
        <v>0</v>
      </c>
      <c r="W163">
        <v>0</v>
      </c>
      <c r="X163">
        <v>20</v>
      </c>
    </row>
    <row r="164" spans="1:24" x14ac:dyDescent="0.3">
      <c r="A164" t="s">
        <v>267</v>
      </c>
      <c r="B164">
        <v>10232</v>
      </c>
      <c r="C164" t="s">
        <v>435</v>
      </c>
      <c r="D164">
        <v>1</v>
      </c>
      <c r="E164">
        <v>3</v>
      </c>
      <c r="F164">
        <v>3</v>
      </c>
      <c r="G164">
        <v>81584</v>
      </c>
      <c r="H164">
        <v>22</v>
      </c>
      <c r="I164" t="s">
        <v>268</v>
      </c>
      <c r="J164" t="s">
        <v>24</v>
      </c>
      <c r="K164">
        <v>1886</v>
      </c>
      <c r="L164" s="3">
        <v>31873</v>
      </c>
      <c r="M164" s="5">
        <f t="shared" ca="1" si="4"/>
        <v>39</v>
      </c>
      <c r="N164" t="s">
        <v>38</v>
      </c>
      <c r="O164" t="s">
        <v>26</v>
      </c>
      <c r="P164" s="3">
        <v>42410</v>
      </c>
      <c r="Q164" s="7">
        <f t="shared" ca="1" si="5"/>
        <v>10.183561643835617</v>
      </c>
      <c r="R164" t="s">
        <v>33</v>
      </c>
      <c r="S164" t="s">
        <v>155</v>
      </c>
      <c r="T164">
        <v>13</v>
      </c>
      <c r="U164" t="s">
        <v>35</v>
      </c>
      <c r="V164">
        <v>7</v>
      </c>
      <c r="W164">
        <v>0</v>
      </c>
      <c r="X164">
        <v>2</v>
      </c>
    </row>
    <row r="165" spans="1:24" x14ac:dyDescent="0.3">
      <c r="A165" t="s">
        <v>269</v>
      </c>
      <c r="B165">
        <v>10087</v>
      </c>
      <c r="C165" t="s">
        <v>435</v>
      </c>
      <c r="D165">
        <v>5</v>
      </c>
      <c r="E165">
        <v>5</v>
      </c>
      <c r="F165">
        <v>3</v>
      </c>
      <c r="G165">
        <v>63676</v>
      </c>
      <c r="H165">
        <v>19</v>
      </c>
      <c r="I165" t="s">
        <v>23</v>
      </c>
      <c r="J165" t="s">
        <v>24</v>
      </c>
      <c r="K165">
        <v>1810</v>
      </c>
      <c r="L165" s="3">
        <v>29037</v>
      </c>
      <c r="M165" s="5">
        <f t="shared" ca="1" si="4"/>
        <v>46</v>
      </c>
      <c r="N165" t="s">
        <v>38</v>
      </c>
      <c r="O165" t="s">
        <v>26</v>
      </c>
      <c r="P165" s="3">
        <v>40812</v>
      </c>
      <c r="Q165" s="7">
        <f t="shared" ca="1" si="5"/>
        <v>14.561643835616438</v>
      </c>
      <c r="R165" t="s">
        <v>27</v>
      </c>
      <c r="S165" t="s">
        <v>39</v>
      </c>
      <c r="T165">
        <v>20</v>
      </c>
      <c r="U165" t="s">
        <v>82</v>
      </c>
      <c r="V165">
        <v>0</v>
      </c>
      <c r="W165">
        <v>0</v>
      </c>
      <c r="X165">
        <v>17</v>
      </c>
    </row>
    <row r="166" spans="1:24" x14ac:dyDescent="0.3">
      <c r="A166" t="s">
        <v>270</v>
      </c>
      <c r="B166">
        <v>10134</v>
      </c>
      <c r="C166" t="s">
        <v>436</v>
      </c>
      <c r="D166">
        <v>1</v>
      </c>
      <c r="E166">
        <v>1</v>
      </c>
      <c r="F166">
        <v>3</v>
      </c>
      <c r="G166">
        <v>93046</v>
      </c>
      <c r="H166">
        <v>23</v>
      </c>
      <c r="I166" t="s">
        <v>271</v>
      </c>
      <c r="J166" t="s">
        <v>24</v>
      </c>
      <c r="K166">
        <v>1460</v>
      </c>
      <c r="L166" s="3">
        <v>30961</v>
      </c>
      <c r="M166" s="5">
        <f t="shared" ca="1" si="4"/>
        <v>41</v>
      </c>
      <c r="N166" t="s">
        <v>25</v>
      </c>
      <c r="O166" t="s">
        <v>32</v>
      </c>
      <c r="P166" s="3">
        <v>42491</v>
      </c>
      <c r="Q166" s="7">
        <f t="shared" ca="1" si="5"/>
        <v>9.9616438356164387</v>
      </c>
      <c r="R166" t="s">
        <v>89</v>
      </c>
      <c r="S166" t="s">
        <v>93</v>
      </c>
      <c r="T166">
        <v>2</v>
      </c>
      <c r="U166" t="s">
        <v>82</v>
      </c>
      <c r="V166">
        <v>0</v>
      </c>
      <c r="W166">
        <v>0</v>
      </c>
      <c r="X166">
        <v>20</v>
      </c>
    </row>
    <row r="167" spans="1:24" x14ac:dyDescent="0.3">
      <c r="A167" t="s">
        <v>272</v>
      </c>
      <c r="B167">
        <v>10251</v>
      </c>
      <c r="C167" t="s">
        <v>436</v>
      </c>
      <c r="D167">
        <v>1</v>
      </c>
      <c r="E167">
        <v>5</v>
      </c>
      <c r="F167">
        <v>3</v>
      </c>
      <c r="G167">
        <v>64738</v>
      </c>
      <c r="H167">
        <v>19</v>
      </c>
      <c r="I167" t="s">
        <v>23</v>
      </c>
      <c r="J167" t="s">
        <v>24</v>
      </c>
      <c r="K167">
        <v>1776</v>
      </c>
      <c r="L167" s="3">
        <v>29991</v>
      </c>
      <c r="M167" s="5">
        <f t="shared" ca="1" si="4"/>
        <v>44</v>
      </c>
      <c r="N167" t="s">
        <v>25</v>
      </c>
      <c r="O167" t="s">
        <v>32</v>
      </c>
      <c r="P167" s="3">
        <v>41043</v>
      </c>
      <c r="Q167" s="7">
        <f t="shared" ca="1" si="5"/>
        <v>13.92876712328767</v>
      </c>
      <c r="R167" t="s">
        <v>27</v>
      </c>
      <c r="S167" t="s">
        <v>41</v>
      </c>
      <c r="T167">
        <v>16</v>
      </c>
      <c r="U167" t="s">
        <v>45</v>
      </c>
      <c r="V167">
        <v>0</v>
      </c>
      <c r="W167">
        <v>0</v>
      </c>
      <c r="X167">
        <v>10</v>
      </c>
    </row>
    <row r="168" spans="1:24" x14ac:dyDescent="0.3">
      <c r="A168" t="s">
        <v>273</v>
      </c>
      <c r="B168">
        <v>10103</v>
      </c>
      <c r="C168" t="s">
        <v>436</v>
      </c>
      <c r="D168">
        <v>1</v>
      </c>
      <c r="E168">
        <v>6</v>
      </c>
      <c r="F168">
        <v>3</v>
      </c>
      <c r="G168">
        <v>70468</v>
      </c>
      <c r="H168">
        <v>3</v>
      </c>
      <c r="I168" t="s">
        <v>101</v>
      </c>
      <c r="J168" t="s">
        <v>274</v>
      </c>
      <c r="K168">
        <v>84111</v>
      </c>
      <c r="L168" s="3">
        <v>32336</v>
      </c>
      <c r="M168" s="5">
        <f t="shared" ca="1" si="4"/>
        <v>37</v>
      </c>
      <c r="N168" t="s">
        <v>25</v>
      </c>
      <c r="O168" t="s">
        <v>99</v>
      </c>
      <c r="P168" s="3">
        <v>41029</v>
      </c>
      <c r="Q168" s="7">
        <f t="shared" ca="1" si="5"/>
        <v>13.967123287671233</v>
      </c>
      <c r="R168" t="s">
        <v>103</v>
      </c>
      <c r="S168" t="s">
        <v>104</v>
      </c>
      <c r="T168">
        <v>17</v>
      </c>
      <c r="U168" t="s">
        <v>159</v>
      </c>
      <c r="V168">
        <v>0</v>
      </c>
      <c r="W168">
        <v>0</v>
      </c>
      <c r="X168">
        <v>16</v>
      </c>
    </row>
    <row r="169" spans="1:24" x14ac:dyDescent="0.3">
      <c r="A169" t="s">
        <v>275</v>
      </c>
      <c r="B169">
        <v>10017</v>
      </c>
      <c r="C169" t="s">
        <v>435</v>
      </c>
      <c r="D169">
        <v>1</v>
      </c>
      <c r="E169">
        <v>5</v>
      </c>
      <c r="F169">
        <v>4</v>
      </c>
      <c r="G169">
        <v>77915</v>
      </c>
      <c r="H169">
        <v>18</v>
      </c>
      <c r="I169" t="s">
        <v>92</v>
      </c>
      <c r="J169" t="s">
        <v>24</v>
      </c>
      <c r="K169">
        <v>2110</v>
      </c>
      <c r="L169" s="3">
        <v>29747</v>
      </c>
      <c r="M169" s="5">
        <f t="shared" ca="1" si="4"/>
        <v>44</v>
      </c>
      <c r="N169" t="s">
        <v>38</v>
      </c>
      <c r="O169" t="s">
        <v>32</v>
      </c>
      <c r="P169" s="3">
        <v>41547</v>
      </c>
      <c r="Q169" s="7">
        <f t="shared" ca="1" si="5"/>
        <v>12.547945205479452</v>
      </c>
      <c r="R169" t="s">
        <v>27</v>
      </c>
      <c r="S169" t="s">
        <v>93</v>
      </c>
      <c r="T169">
        <v>2</v>
      </c>
      <c r="U169" t="s">
        <v>159</v>
      </c>
      <c r="V169">
        <v>0</v>
      </c>
      <c r="W169">
        <v>0</v>
      </c>
      <c r="X169">
        <v>11</v>
      </c>
    </row>
    <row r="170" spans="1:24" x14ac:dyDescent="0.3">
      <c r="A170" t="s">
        <v>276</v>
      </c>
      <c r="B170">
        <v>10186</v>
      </c>
      <c r="C170" t="s">
        <v>435</v>
      </c>
      <c r="D170">
        <v>5</v>
      </c>
      <c r="E170">
        <v>5</v>
      </c>
      <c r="F170">
        <v>3</v>
      </c>
      <c r="G170">
        <v>52624</v>
      </c>
      <c r="H170">
        <v>19</v>
      </c>
      <c r="I170" t="s">
        <v>23</v>
      </c>
      <c r="J170" t="s">
        <v>24</v>
      </c>
      <c r="K170">
        <v>1886</v>
      </c>
      <c r="L170" s="3">
        <v>29740</v>
      </c>
      <c r="M170" s="5">
        <f t="shared" ca="1" si="4"/>
        <v>44</v>
      </c>
      <c r="N170" t="s">
        <v>38</v>
      </c>
      <c r="O170" t="s">
        <v>32</v>
      </c>
      <c r="P170" s="3">
        <v>40670</v>
      </c>
      <c r="Q170" s="7">
        <f t="shared" ca="1" si="5"/>
        <v>14.950684931506849</v>
      </c>
      <c r="R170" t="s">
        <v>27</v>
      </c>
      <c r="S170" t="s">
        <v>28</v>
      </c>
      <c r="T170">
        <v>22</v>
      </c>
      <c r="U170" t="s">
        <v>35</v>
      </c>
      <c r="V170">
        <v>0</v>
      </c>
      <c r="W170">
        <v>0</v>
      </c>
      <c r="X170">
        <v>16</v>
      </c>
    </row>
    <row r="171" spans="1:24" x14ac:dyDescent="0.3">
      <c r="A171" t="s">
        <v>277</v>
      </c>
      <c r="B171">
        <v>10137</v>
      </c>
      <c r="C171" t="s">
        <v>436</v>
      </c>
      <c r="D171">
        <v>3</v>
      </c>
      <c r="E171">
        <v>5</v>
      </c>
      <c r="F171">
        <v>3</v>
      </c>
      <c r="G171">
        <v>63450</v>
      </c>
      <c r="H171">
        <v>20</v>
      </c>
      <c r="I171" t="s">
        <v>37</v>
      </c>
      <c r="J171" t="s">
        <v>24</v>
      </c>
      <c r="K171">
        <v>1770</v>
      </c>
      <c r="L171" s="3">
        <v>29101</v>
      </c>
      <c r="M171" s="5">
        <f t="shared" ca="1" si="4"/>
        <v>46</v>
      </c>
      <c r="N171" t="s">
        <v>25</v>
      </c>
      <c r="O171" t="s">
        <v>32</v>
      </c>
      <c r="P171" s="3">
        <v>41493</v>
      </c>
      <c r="Q171" s="7">
        <f t="shared" ca="1" si="5"/>
        <v>12.695890410958905</v>
      </c>
      <c r="R171" t="s">
        <v>27</v>
      </c>
      <c r="S171" t="s">
        <v>69</v>
      </c>
      <c r="T171">
        <v>18</v>
      </c>
      <c r="U171" t="s">
        <v>29</v>
      </c>
      <c r="V171">
        <v>0</v>
      </c>
      <c r="W171">
        <v>0</v>
      </c>
      <c r="X171">
        <v>7</v>
      </c>
    </row>
    <row r="172" spans="1:24" x14ac:dyDescent="0.3">
      <c r="A172" t="s">
        <v>278</v>
      </c>
      <c r="B172">
        <v>10008</v>
      </c>
      <c r="C172" t="s">
        <v>435</v>
      </c>
      <c r="D172">
        <v>1</v>
      </c>
      <c r="E172">
        <v>3</v>
      </c>
      <c r="F172">
        <v>4</v>
      </c>
      <c r="G172">
        <v>51777</v>
      </c>
      <c r="H172">
        <v>14</v>
      </c>
      <c r="I172" t="s">
        <v>60</v>
      </c>
      <c r="J172" t="s">
        <v>86</v>
      </c>
      <c r="K172">
        <v>6070</v>
      </c>
      <c r="L172" s="3">
        <v>32273</v>
      </c>
      <c r="M172" s="5">
        <f t="shared" ca="1" si="4"/>
        <v>37</v>
      </c>
      <c r="N172" t="s">
        <v>38</v>
      </c>
      <c r="O172" t="s">
        <v>26</v>
      </c>
      <c r="P172" s="3">
        <v>40564</v>
      </c>
      <c r="Q172" s="7">
        <f t="shared" ca="1" si="5"/>
        <v>15.241095890410959</v>
      </c>
      <c r="R172" t="s">
        <v>33</v>
      </c>
      <c r="S172" t="s">
        <v>126</v>
      </c>
      <c r="T172">
        <v>6</v>
      </c>
      <c r="U172" t="s">
        <v>58</v>
      </c>
      <c r="V172">
        <v>5</v>
      </c>
      <c r="W172">
        <v>0</v>
      </c>
      <c r="X172">
        <v>14</v>
      </c>
    </row>
    <row r="173" spans="1:24" x14ac:dyDescent="0.3">
      <c r="A173" t="s">
        <v>279</v>
      </c>
      <c r="B173">
        <v>10096</v>
      </c>
      <c r="C173" t="s">
        <v>435</v>
      </c>
      <c r="D173">
        <v>5</v>
      </c>
      <c r="E173">
        <v>5</v>
      </c>
      <c r="F173">
        <v>3</v>
      </c>
      <c r="G173">
        <v>67237</v>
      </c>
      <c r="H173">
        <v>20</v>
      </c>
      <c r="I173" t="s">
        <v>37</v>
      </c>
      <c r="J173" t="s">
        <v>24</v>
      </c>
      <c r="K173">
        <v>2122</v>
      </c>
      <c r="L173" s="3">
        <v>27923</v>
      </c>
      <c r="M173" s="5">
        <f t="shared" ca="1" si="4"/>
        <v>49</v>
      </c>
      <c r="N173" t="s">
        <v>38</v>
      </c>
      <c r="O173" t="s">
        <v>53</v>
      </c>
      <c r="P173" s="3">
        <v>41493</v>
      </c>
      <c r="Q173" s="7">
        <f t="shared" ca="1" si="5"/>
        <v>12.695890410958905</v>
      </c>
      <c r="R173" t="s">
        <v>27</v>
      </c>
      <c r="S173" t="s">
        <v>28</v>
      </c>
      <c r="T173">
        <v>22</v>
      </c>
      <c r="U173" t="s">
        <v>29</v>
      </c>
      <c r="V173">
        <v>0</v>
      </c>
      <c r="W173">
        <v>0</v>
      </c>
      <c r="X173">
        <v>15</v>
      </c>
    </row>
    <row r="174" spans="1:24" x14ac:dyDescent="0.3">
      <c r="A174" t="s">
        <v>280</v>
      </c>
      <c r="B174">
        <v>10035</v>
      </c>
      <c r="C174" t="s">
        <v>435</v>
      </c>
      <c r="D174">
        <v>1</v>
      </c>
      <c r="E174">
        <v>5</v>
      </c>
      <c r="F174">
        <v>4</v>
      </c>
      <c r="G174">
        <v>73330</v>
      </c>
      <c r="H174">
        <v>20</v>
      </c>
      <c r="I174" t="s">
        <v>37</v>
      </c>
      <c r="J174" t="s">
        <v>24</v>
      </c>
      <c r="K174">
        <v>2324</v>
      </c>
      <c r="L174" s="3">
        <v>30166</v>
      </c>
      <c r="M174" s="5">
        <f t="shared" ca="1" si="4"/>
        <v>43</v>
      </c>
      <c r="N174" t="s">
        <v>38</v>
      </c>
      <c r="O174" t="s">
        <v>26</v>
      </c>
      <c r="P174" s="3">
        <v>41505</v>
      </c>
      <c r="Q174" s="7">
        <f t="shared" ca="1" si="5"/>
        <v>12.663013698630136</v>
      </c>
      <c r="R174" t="s">
        <v>27</v>
      </c>
      <c r="S174" t="s">
        <v>41</v>
      </c>
      <c r="T174">
        <v>16</v>
      </c>
      <c r="U174" t="s">
        <v>35</v>
      </c>
      <c r="V174">
        <v>0</v>
      </c>
      <c r="W174">
        <v>0</v>
      </c>
      <c r="X174">
        <v>19</v>
      </c>
    </row>
    <row r="175" spans="1:24" x14ac:dyDescent="0.3">
      <c r="A175" t="s">
        <v>281</v>
      </c>
      <c r="B175">
        <v>10057</v>
      </c>
      <c r="C175" t="s">
        <v>435</v>
      </c>
      <c r="D175">
        <v>3</v>
      </c>
      <c r="E175">
        <v>5</v>
      </c>
      <c r="F175">
        <v>3</v>
      </c>
      <c r="G175">
        <v>52057</v>
      </c>
      <c r="H175">
        <v>19</v>
      </c>
      <c r="I175" t="s">
        <v>23</v>
      </c>
      <c r="J175" t="s">
        <v>24</v>
      </c>
      <c r="K175">
        <v>2122</v>
      </c>
      <c r="L175" s="3">
        <v>27435</v>
      </c>
      <c r="M175" s="5">
        <f t="shared" ca="1" si="4"/>
        <v>51</v>
      </c>
      <c r="N175" t="s">
        <v>38</v>
      </c>
      <c r="O175" t="s">
        <v>32</v>
      </c>
      <c r="P175" s="3">
        <v>42051</v>
      </c>
      <c r="Q175" s="7">
        <f t="shared" ca="1" si="5"/>
        <v>11.167123287671233</v>
      </c>
      <c r="R175" t="s">
        <v>27</v>
      </c>
      <c r="S175" t="s">
        <v>41</v>
      </c>
      <c r="T175">
        <v>16</v>
      </c>
      <c r="U175" t="s">
        <v>159</v>
      </c>
      <c r="V175">
        <v>0</v>
      </c>
      <c r="W175">
        <v>0</v>
      </c>
      <c r="X175">
        <v>6</v>
      </c>
    </row>
    <row r="176" spans="1:24" x14ac:dyDescent="0.3">
      <c r="A176" t="s">
        <v>282</v>
      </c>
      <c r="B176">
        <v>10004</v>
      </c>
      <c r="C176" t="s">
        <v>435</v>
      </c>
      <c r="D176">
        <v>5</v>
      </c>
      <c r="E176">
        <v>5</v>
      </c>
      <c r="F176">
        <v>4</v>
      </c>
      <c r="G176">
        <v>47434</v>
      </c>
      <c r="H176">
        <v>19</v>
      </c>
      <c r="I176" t="s">
        <v>23</v>
      </c>
      <c r="J176" t="s">
        <v>24</v>
      </c>
      <c r="K176">
        <v>1844</v>
      </c>
      <c r="L176" s="3">
        <v>26756</v>
      </c>
      <c r="M176" s="5">
        <f t="shared" ca="1" si="4"/>
        <v>53</v>
      </c>
      <c r="N176" t="s">
        <v>38</v>
      </c>
      <c r="O176" t="s">
        <v>26</v>
      </c>
      <c r="P176" s="3">
        <v>40735</v>
      </c>
      <c r="Q176" s="7">
        <f t="shared" ca="1" si="5"/>
        <v>14.772602739726027</v>
      </c>
      <c r="R176" t="s">
        <v>27</v>
      </c>
      <c r="S176" t="s">
        <v>44</v>
      </c>
      <c r="T176">
        <v>39</v>
      </c>
      <c r="U176" t="s">
        <v>58</v>
      </c>
      <c r="V176">
        <v>0</v>
      </c>
      <c r="W176">
        <v>0</v>
      </c>
      <c r="X176">
        <v>17</v>
      </c>
    </row>
    <row r="177" spans="1:24" x14ac:dyDescent="0.3">
      <c r="A177" t="s">
        <v>283</v>
      </c>
      <c r="B177">
        <v>10191</v>
      </c>
      <c r="C177" t="s">
        <v>436</v>
      </c>
      <c r="D177">
        <v>5</v>
      </c>
      <c r="E177">
        <v>5</v>
      </c>
      <c r="F177">
        <v>3</v>
      </c>
      <c r="G177">
        <v>52788</v>
      </c>
      <c r="H177">
        <v>19</v>
      </c>
      <c r="I177" t="s">
        <v>23</v>
      </c>
      <c r="J177" t="s">
        <v>24</v>
      </c>
      <c r="K177">
        <v>1938</v>
      </c>
      <c r="L177" s="3">
        <v>26553</v>
      </c>
      <c r="M177" s="5">
        <f t="shared" ca="1" si="4"/>
        <v>53</v>
      </c>
      <c r="N177" t="s">
        <v>25</v>
      </c>
      <c r="O177" t="s">
        <v>53</v>
      </c>
      <c r="P177" s="3">
        <v>41176</v>
      </c>
      <c r="Q177" s="7">
        <f t="shared" ca="1" si="5"/>
        <v>13.564383561643835</v>
      </c>
      <c r="R177" t="s">
        <v>27</v>
      </c>
      <c r="S177" t="s">
        <v>47</v>
      </c>
      <c r="T177">
        <v>11</v>
      </c>
      <c r="U177" t="s">
        <v>35</v>
      </c>
      <c r="V177">
        <v>0</v>
      </c>
      <c r="W177">
        <v>0</v>
      </c>
      <c r="X177">
        <v>18</v>
      </c>
    </row>
    <row r="178" spans="1:24" x14ac:dyDescent="0.3">
      <c r="A178" t="s">
        <v>284</v>
      </c>
      <c r="B178">
        <v>10219</v>
      </c>
      <c r="C178" t="s">
        <v>435</v>
      </c>
      <c r="D178">
        <v>1</v>
      </c>
      <c r="E178">
        <v>5</v>
      </c>
      <c r="F178">
        <v>3</v>
      </c>
      <c r="G178">
        <v>45395</v>
      </c>
      <c r="H178">
        <v>19</v>
      </c>
      <c r="I178" t="s">
        <v>23</v>
      </c>
      <c r="J178" t="s">
        <v>24</v>
      </c>
      <c r="K178">
        <v>2189</v>
      </c>
      <c r="L178" s="3">
        <v>31600</v>
      </c>
      <c r="M178" s="5">
        <f t="shared" ca="1" si="4"/>
        <v>39</v>
      </c>
      <c r="N178" t="s">
        <v>38</v>
      </c>
      <c r="O178" t="s">
        <v>26</v>
      </c>
      <c r="P178" s="3">
        <v>41791</v>
      </c>
      <c r="Q178" s="7">
        <f t="shared" ca="1" si="5"/>
        <v>11.87945205479452</v>
      </c>
      <c r="R178" t="s">
        <v>27</v>
      </c>
      <c r="S178" t="s">
        <v>54</v>
      </c>
      <c r="T178">
        <v>19</v>
      </c>
      <c r="U178" t="s">
        <v>29</v>
      </c>
      <c r="V178">
        <v>0</v>
      </c>
      <c r="W178">
        <v>0</v>
      </c>
      <c r="X178">
        <v>14</v>
      </c>
    </row>
    <row r="179" spans="1:24" x14ac:dyDescent="0.3">
      <c r="A179" t="s">
        <v>285</v>
      </c>
      <c r="B179">
        <v>10077</v>
      </c>
      <c r="C179" t="s">
        <v>435</v>
      </c>
      <c r="D179">
        <v>2</v>
      </c>
      <c r="E179">
        <v>5</v>
      </c>
      <c r="F179">
        <v>3</v>
      </c>
      <c r="G179">
        <v>62385</v>
      </c>
      <c r="H179">
        <v>20</v>
      </c>
      <c r="I179" t="s">
        <v>37</v>
      </c>
      <c r="J179" t="s">
        <v>24</v>
      </c>
      <c r="K179">
        <v>2324</v>
      </c>
      <c r="L179" s="3">
        <v>27888</v>
      </c>
      <c r="M179" s="5">
        <f t="shared" ca="1" si="4"/>
        <v>49</v>
      </c>
      <c r="N179" t="s">
        <v>38</v>
      </c>
      <c r="O179" t="s">
        <v>32</v>
      </c>
      <c r="P179" s="3">
        <v>42679</v>
      </c>
      <c r="Q179" s="7">
        <f t="shared" ca="1" si="5"/>
        <v>9.4465753424657528</v>
      </c>
      <c r="R179" t="s">
        <v>27</v>
      </c>
      <c r="S179" t="s">
        <v>44</v>
      </c>
      <c r="U179" t="s">
        <v>29</v>
      </c>
      <c r="V179">
        <v>0</v>
      </c>
      <c r="W179">
        <v>0</v>
      </c>
      <c r="X179">
        <v>4</v>
      </c>
    </row>
    <row r="180" spans="1:24" x14ac:dyDescent="0.3">
      <c r="A180" t="s">
        <v>286</v>
      </c>
      <c r="B180">
        <v>10073</v>
      </c>
      <c r="C180" t="s">
        <v>435</v>
      </c>
      <c r="D180">
        <v>5</v>
      </c>
      <c r="E180">
        <v>5</v>
      </c>
      <c r="F180">
        <v>3</v>
      </c>
      <c r="G180">
        <v>68407</v>
      </c>
      <c r="H180">
        <v>20</v>
      </c>
      <c r="I180" t="s">
        <v>37</v>
      </c>
      <c r="J180" t="s">
        <v>24</v>
      </c>
      <c r="K180">
        <v>2176</v>
      </c>
      <c r="L180" s="3">
        <v>31697</v>
      </c>
      <c r="M180" s="5">
        <f t="shared" ca="1" si="4"/>
        <v>39</v>
      </c>
      <c r="N180" t="s">
        <v>38</v>
      </c>
      <c r="O180" t="s">
        <v>32</v>
      </c>
      <c r="P180" s="3">
        <v>40670</v>
      </c>
      <c r="Q180" s="7">
        <f t="shared" ca="1" si="5"/>
        <v>14.950684931506849</v>
      </c>
      <c r="R180" t="s">
        <v>27</v>
      </c>
      <c r="S180" t="s">
        <v>47</v>
      </c>
      <c r="T180">
        <v>11</v>
      </c>
      <c r="U180" t="s">
        <v>29</v>
      </c>
      <c r="V180">
        <v>0</v>
      </c>
      <c r="W180">
        <v>0</v>
      </c>
      <c r="X180">
        <v>16</v>
      </c>
    </row>
    <row r="181" spans="1:24" x14ac:dyDescent="0.3">
      <c r="A181" t="s">
        <v>287</v>
      </c>
      <c r="B181">
        <v>10279</v>
      </c>
      <c r="C181" t="s">
        <v>435</v>
      </c>
      <c r="D181">
        <v>1</v>
      </c>
      <c r="E181">
        <v>5</v>
      </c>
      <c r="F181">
        <v>3</v>
      </c>
      <c r="G181">
        <v>61349</v>
      </c>
      <c r="H181">
        <v>19</v>
      </c>
      <c r="I181" t="s">
        <v>23</v>
      </c>
      <c r="J181" t="s">
        <v>24</v>
      </c>
      <c r="K181">
        <v>2451</v>
      </c>
      <c r="L181" s="3">
        <v>27221</v>
      </c>
      <c r="M181" s="5">
        <f t="shared" ca="1" si="4"/>
        <v>51</v>
      </c>
      <c r="N181" t="s">
        <v>38</v>
      </c>
      <c r="O181" t="s">
        <v>32</v>
      </c>
      <c r="P181" s="3">
        <v>41589</v>
      </c>
      <c r="Q181" s="7">
        <f t="shared" ca="1" si="5"/>
        <v>12.432876712328767</v>
      </c>
      <c r="R181" t="s">
        <v>27</v>
      </c>
      <c r="S181" t="s">
        <v>57</v>
      </c>
      <c r="T181">
        <v>12</v>
      </c>
      <c r="U181" t="s">
        <v>29</v>
      </c>
      <c r="V181">
        <v>0</v>
      </c>
      <c r="W181">
        <v>0</v>
      </c>
      <c r="X181">
        <v>11</v>
      </c>
    </row>
    <row r="182" spans="1:24" x14ac:dyDescent="0.3">
      <c r="A182" t="s">
        <v>288</v>
      </c>
      <c r="B182">
        <v>10110</v>
      </c>
      <c r="C182" t="s">
        <v>435</v>
      </c>
      <c r="D182">
        <v>1</v>
      </c>
      <c r="E182">
        <v>4</v>
      </c>
      <c r="F182">
        <v>3</v>
      </c>
      <c r="G182">
        <v>105688</v>
      </c>
      <c r="H182">
        <v>24</v>
      </c>
      <c r="I182" t="s">
        <v>49</v>
      </c>
      <c r="J182" t="s">
        <v>24</v>
      </c>
      <c r="K182">
        <v>2135</v>
      </c>
      <c r="L182" s="3">
        <v>31969</v>
      </c>
      <c r="M182" s="5">
        <f t="shared" ca="1" si="4"/>
        <v>38</v>
      </c>
      <c r="N182" t="s">
        <v>38</v>
      </c>
      <c r="O182" t="s">
        <v>26</v>
      </c>
      <c r="P182" s="3">
        <v>41589</v>
      </c>
      <c r="Q182" s="7">
        <f t="shared" ca="1" si="5"/>
        <v>12.432876712328767</v>
      </c>
      <c r="R182" t="s">
        <v>50</v>
      </c>
      <c r="S182" t="s">
        <v>51</v>
      </c>
      <c r="T182">
        <v>10</v>
      </c>
      <c r="U182" t="s">
        <v>45</v>
      </c>
      <c r="V182">
        <v>4</v>
      </c>
      <c r="W182">
        <v>0</v>
      </c>
      <c r="X182">
        <v>14</v>
      </c>
    </row>
    <row r="183" spans="1:24" x14ac:dyDescent="0.3">
      <c r="A183" t="s">
        <v>289</v>
      </c>
      <c r="B183">
        <v>10053</v>
      </c>
      <c r="C183" t="s">
        <v>435</v>
      </c>
      <c r="D183">
        <v>1</v>
      </c>
      <c r="E183">
        <v>5</v>
      </c>
      <c r="F183">
        <v>3</v>
      </c>
      <c r="G183">
        <v>54132</v>
      </c>
      <c r="H183">
        <v>19</v>
      </c>
      <c r="I183" t="s">
        <v>23</v>
      </c>
      <c r="J183" t="s">
        <v>24</v>
      </c>
      <c r="K183">
        <v>2330</v>
      </c>
      <c r="L183" s="3">
        <v>28470</v>
      </c>
      <c r="M183" s="5">
        <f t="shared" ca="1" si="4"/>
        <v>48</v>
      </c>
      <c r="N183" t="s">
        <v>38</v>
      </c>
      <c r="O183" t="s">
        <v>32</v>
      </c>
      <c r="P183" s="3">
        <v>40694</v>
      </c>
      <c r="Q183" s="7">
        <f t="shared" ca="1" si="5"/>
        <v>14.884931506849314</v>
      </c>
      <c r="R183" t="s">
        <v>27</v>
      </c>
      <c r="S183" t="s">
        <v>63</v>
      </c>
      <c r="T183">
        <v>14</v>
      </c>
      <c r="U183" t="s">
        <v>35</v>
      </c>
      <c r="V183">
        <v>0</v>
      </c>
      <c r="W183">
        <v>0</v>
      </c>
      <c r="X183">
        <v>8</v>
      </c>
    </row>
    <row r="184" spans="1:24" x14ac:dyDescent="0.3">
      <c r="A184" t="s">
        <v>290</v>
      </c>
      <c r="B184">
        <v>10076</v>
      </c>
      <c r="C184" t="s">
        <v>435</v>
      </c>
      <c r="D184">
        <v>1</v>
      </c>
      <c r="E184">
        <v>5</v>
      </c>
      <c r="F184">
        <v>3</v>
      </c>
      <c r="G184">
        <v>55315</v>
      </c>
      <c r="H184">
        <v>20</v>
      </c>
      <c r="I184" t="s">
        <v>37</v>
      </c>
      <c r="J184" t="s">
        <v>24</v>
      </c>
      <c r="K184">
        <v>2149</v>
      </c>
      <c r="L184" s="3">
        <v>31782</v>
      </c>
      <c r="M184" s="5">
        <f t="shared" ca="1" si="4"/>
        <v>39</v>
      </c>
      <c r="N184" t="s">
        <v>38</v>
      </c>
      <c r="O184" t="s">
        <v>26</v>
      </c>
      <c r="P184" s="3">
        <v>42093</v>
      </c>
      <c r="Q184" s="7">
        <f t="shared" ca="1" si="5"/>
        <v>11.052054794520547</v>
      </c>
      <c r="R184" t="s">
        <v>27</v>
      </c>
      <c r="S184" t="s">
        <v>54</v>
      </c>
      <c r="T184">
        <v>19</v>
      </c>
      <c r="U184" t="s">
        <v>29</v>
      </c>
      <c r="V184">
        <v>0</v>
      </c>
      <c r="W184">
        <v>0</v>
      </c>
      <c r="X184">
        <v>16</v>
      </c>
    </row>
    <row r="185" spans="1:24" x14ac:dyDescent="0.3">
      <c r="A185" t="s">
        <v>291</v>
      </c>
      <c r="B185">
        <v>10145</v>
      </c>
      <c r="C185" t="s">
        <v>435</v>
      </c>
      <c r="D185">
        <v>1</v>
      </c>
      <c r="E185">
        <v>5</v>
      </c>
      <c r="F185">
        <v>3</v>
      </c>
      <c r="G185">
        <v>62810</v>
      </c>
      <c r="H185">
        <v>19</v>
      </c>
      <c r="I185" t="s">
        <v>23</v>
      </c>
      <c r="J185" t="s">
        <v>24</v>
      </c>
      <c r="K185">
        <v>2184</v>
      </c>
      <c r="L185" s="3">
        <v>31959</v>
      </c>
      <c r="M185" s="5">
        <f t="shared" ca="1" si="4"/>
        <v>38</v>
      </c>
      <c r="N185" t="s">
        <v>38</v>
      </c>
      <c r="O185" t="s">
        <v>32</v>
      </c>
      <c r="P185" s="3">
        <v>41456</v>
      </c>
      <c r="Q185" s="7">
        <f t="shared" ca="1" si="5"/>
        <v>12.797260273972602</v>
      </c>
      <c r="R185" t="s">
        <v>27</v>
      </c>
      <c r="S185" t="s">
        <v>39</v>
      </c>
      <c r="T185">
        <v>20</v>
      </c>
      <c r="U185" t="s">
        <v>82</v>
      </c>
      <c r="V185">
        <v>0</v>
      </c>
      <c r="W185">
        <v>0</v>
      </c>
      <c r="X185">
        <v>20</v>
      </c>
    </row>
    <row r="186" spans="1:24" x14ac:dyDescent="0.3">
      <c r="A186" t="s">
        <v>292</v>
      </c>
      <c r="B186">
        <v>10202</v>
      </c>
      <c r="C186" t="s">
        <v>436</v>
      </c>
      <c r="D186">
        <v>2</v>
      </c>
      <c r="E186">
        <v>6</v>
      </c>
      <c r="F186">
        <v>3</v>
      </c>
      <c r="G186">
        <v>63291</v>
      </c>
      <c r="H186">
        <v>3</v>
      </c>
      <c r="I186" t="s">
        <v>101</v>
      </c>
      <c r="J186" t="s">
        <v>67</v>
      </c>
      <c r="K186">
        <v>78789</v>
      </c>
      <c r="L186" s="3">
        <v>30688</v>
      </c>
      <c r="M186" s="5">
        <f t="shared" ca="1" si="4"/>
        <v>42</v>
      </c>
      <c r="N186" t="s">
        <v>25</v>
      </c>
      <c r="O186" t="s">
        <v>32</v>
      </c>
      <c r="P186" s="3">
        <v>42528</v>
      </c>
      <c r="Q186" s="7">
        <f t="shared" ca="1" si="5"/>
        <v>9.8602739726027391</v>
      </c>
      <c r="R186" t="s">
        <v>103</v>
      </c>
      <c r="S186" t="s">
        <v>122</v>
      </c>
      <c r="T186">
        <v>21</v>
      </c>
      <c r="U186" t="s">
        <v>159</v>
      </c>
      <c r="V186">
        <v>0</v>
      </c>
      <c r="W186">
        <v>0</v>
      </c>
      <c r="X186">
        <v>7</v>
      </c>
    </row>
    <row r="187" spans="1:24" x14ac:dyDescent="0.3">
      <c r="A187" t="s">
        <v>293</v>
      </c>
      <c r="B187">
        <v>10128</v>
      </c>
      <c r="C187" t="s">
        <v>435</v>
      </c>
      <c r="D187">
        <v>5</v>
      </c>
      <c r="E187">
        <v>5</v>
      </c>
      <c r="F187">
        <v>3</v>
      </c>
      <c r="G187">
        <v>62659</v>
      </c>
      <c r="H187">
        <v>19</v>
      </c>
      <c r="I187" t="s">
        <v>23</v>
      </c>
      <c r="J187" t="s">
        <v>24</v>
      </c>
      <c r="K187">
        <v>1760</v>
      </c>
      <c r="L187" s="3">
        <v>24902</v>
      </c>
      <c r="M187" s="5">
        <f t="shared" ca="1" si="4"/>
        <v>58</v>
      </c>
      <c r="N187" t="s">
        <v>38</v>
      </c>
      <c r="O187" t="s">
        <v>26</v>
      </c>
      <c r="P187" s="3">
        <v>40943</v>
      </c>
      <c r="Q187" s="7">
        <f t="shared" ca="1" si="5"/>
        <v>14.202739726027398</v>
      </c>
      <c r="R187" t="s">
        <v>27</v>
      </c>
      <c r="S187" t="s">
        <v>69</v>
      </c>
      <c r="T187">
        <v>18</v>
      </c>
      <c r="U187" t="s">
        <v>58</v>
      </c>
      <c r="V187">
        <v>0</v>
      </c>
      <c r="W187">
        <v>0</v>
      </c>
      <c r="X187">
        <v>17</v>
      </c>
    </row>
    <row r="188" spans="1:24" x14ac:dyDescent="0.3">
      <c r="A188" t="s">
        <v>294</v>
      </c>
      <c r="B188">
        <v>10068</v>
      </c>
      <c r="C188" t="s">
        <v>435</v>
      </c>
      <c r="D188">
        <v>1</v>
      </c>
      <c r="E188">
        <v>5</v>
      </c>
      <c r="F188">
        <v>3</v>
      </c>
      <c r="G188">
        <v>55688</v>
      </c>
      <c r="H188">
        <v>19</v>
      </c>
      <c r="I188" t="s">
        <v>23</v>
      </c>
      <c r="J188" t="s">
        <v>24</v>
      </c>
      <c r="K188">
        <v>2346</v>
      </c>
      <c r="L188" s="3">
        <v>27799</v>
      </c>
      <c r="M188" s="5">
        <f t="shared" ca="1" si="4"/>
        <v>50</v>
      </c>
      <c r="N188" t="s">
        <v>38</v>
      </c>
      <c r="O188" t="s">
        <v>26</v>
      </c>
      <c r="P188" s="3">
        <v>42093</v>
      </c>
      <c r="Q188" s="7">
        <f t="shared" ca="1" si="5"/>
        <v>11.052054794520547</v>
      </c>
      <c r="R188" t="s">
        <v>27</v>
      </c>
      <c r="S188" t="s">
        <v>28</v>
      </c>
      <c r="T188">
        <v>22</v>
      </c>
      <c r="U188" t="s">
        <v>82</v>
      </c>
      <c r="V188">
        <v>0</v>
      </c>
      <c r="W188">
        <v>0</v>
      </c>
      <c r="X188">
        <v>10</v>
      </c>
    </row>
    <row r="189" spans="1:24" x14ac:dyDescent="0.3">
      <c r="A189" t="s">
        <v>295</v>
      </c>
      <c r="B189">
        <v>10116</v>
      </c>
      <c r="C189" t="s">
        <v>436</v>
      </c>
      <c r="D189">
        <v>1</v>
      </c>
      <c r="E189">
        <v>5</v>
      </c>
      <c r="F189">
        <v>3</v>
      </c>
      <c r="G189">
        <v>83667</v>
      </c>
      <c r="H189">
        <v>18</v>
      </c>
      <c r="I189" t="s">
        <v>92</v>
      </c>
      <c r="J189" t="s">
        <v>24</v>
      </c>
      <c r="K189">
        <v>2045</v>
      </c>
      <c r="L189" s="3">
        <v>29867</v>
      </c>
      <c r="M189" s="5">
        <f t="shared" ca="1" si="4"/>
        <v>44</v>
      </c>
      <c r="N189" t="s">
        <v>25</v>
      </c>
      <c r="O189" t="s">
        <v>26</v>
      </c>
      <c r="P189" s="3">
        <v>41137</v>
      </c>
      <c r="Q189" s="7">
        <f t="shared" ca="1" si="5"/>
        <v>13.671232876712329</v>
      </c>
      <c r="R189" t="s">
        <v>27</v>
      </c>
      <c r="S189" t="s">
        <v>93</v>
      </c>
      <c r="T189">
        <v>2</v>
      </c>
      <c r="U189" t="s">
        <v>35</v>
      </c>
      <c r="V189">
        <v>0</v>
      </c>
      <c r="W189">
        <v>0</v>
      </c>
      <c r="X189">
        <v>2</v>
      </c>
    </row>
    <row r="190" spans="1:24" x14ac:dyDescent="0.3">
      <c r="A190" t="s">
        <v>296</v>
      </c>
      <c r="B190">
        <v>10298</v>
      </c>
      <c r="C190" t="s">
        <v>436</v>
      </c>
      <c r="D190">
        <v>5</v>
      </c>
      <c r="E190">
        <v>5</v>
      </c>
      <c r="F190">
        <v>1</v>
      </c>
      <c r="G190">
        <v>55800</v>
      </c>
      <c r="H190">
        <v>20</v>
      </c>
      <c r="I190" t="s">
        <v>37</v>
      </c>
      <c r="J190" t="s">
        <v>24</v>
      </c>
      <c r="K190">
        <v>2472</v>
      </c>
      <c r="L190" s="3">
        <v>31296</v>
      </c>
      <c r="M190" s="5">
        <f t="shared" ca="1" si="4"/>
        <v>40</v>
      </c>
      <c r="N190" t="s">
        <v>25</v>
      </c>
      <c r="O190" t="s">
        <v>26</v>
      </c>
      <c r="P190" s="3">
        <v>40770</v>
      </c>
      <c r="Q190" s="7">
        <f t="shared" ca="1" si="5"/>
        <v>14.676712328767124</v>
      </c>
      <c r="R190" t="s">
        <v>27</v>
      </c>
      <c r="S190" t="s">
        <v>57</v>
      </c>
      <c r="T190">
        <v>12</v>
      </c>
      <c r="U190" t="s">
        <v>29</v>
      </c>
      <c r="V190">
        <v>0</v>
      </c>
      <c r="W190">
        <v>6</v>
      </c>
      <c r="X190">
        <v>6</v>
      </c>
    </row>
    <row r="191" spans="1:24" x14ac:dyDescent="0.3">
      <c r="A191" t="s">
        <v>297</v>
      </c>
      <c r="B191">
        <v>10213</v>
      </c>
      <c r="C191" t="s">
        <v>436</v>
      </c>
      <c r="D191">
        <v>1</v>
      </c>
      <c r="E191">
        <v>5</v>
      </c>
      <c r="F191">
        <v>3</v>
      </c>
      <c r="G191">
        <v>58207</v>
      </c>
      <c r="H191">
        <v>20</v>
      </c>
      <c r="I191" t="s">
        <v>37</v>
      </c>
      <c r="J191" t="s">
        <v>24</v>
      </c>
      <c r="K191">
        <v>1450</v>
      </c>
      <c r="L191" s="3">
        <v>33793</v>
      </c>
      <c r="M191" s="5">
        <f t="shared" ca="1" si="4"/>
        <v>33</v>
      </c>
      <c r="N191" t="s">
        <v>25</v>
      </c>
      <c r="O191" t="s">
        <v>32</v>
      </c>
      <c r="P191" s="3">
        <v>40735</v>
      </c>
      <c r="Q191" s="7">
        <f t="shared" ca="1" si="5"/>
        <v>14.772602739726027</v>
      </c>
      <c r="R191" t="s">
        <v>27</v>
      </c>
      <c r="S191" t="s">
        <v>63</v>
      </c>
      <c r="T191">
        <v>14</v>
      </c>
      <c r="U191" t="s">
        <v>29</v>
      </c>
      <c r="V191">
        <v>0</v>
      </c>
      <c r="W191">
        <v>0</v>
      </c>
      <c r="X191">
        <v>14</v>
      </c>
    </row>
    <row r="192" spans="1:24" x14ac:dyDescent="0.3">
      <c r="A192" t="s">
        <v>298</v>
      </c>
      <c r="B192">
        <v>10288</v>
      </c>
      <c r="C192" t="s">
        <v>436</v>
      </c>
      <c r="D192">
        <v>1</v>
      </c>
      <c r="E192">
        <v>3</v>
      </c>
      <c r="F192">
        <v>2</v>
      </c>
      <c r="G192">
        <v>157000</v>
      </c>
      <c r="H192">
        <v>13</v>
      </c>
      <c r="I192" t="s">
        <v>299</v>
      </c>
      <c r="J192" t="s">
        <v>24</v>
      </c>
      <c r="K192">
        <v>2134</v>
      </c>
      <c r="L192" s="3">
        <v>31542</v>
      </c>
      <c r="M192" s="5">
        <f t="shared" ca="1" si="4"/>
        <v>39</v>
      </c>
      <c r="N192" t="s">
        <v>25</v>
      </c>
      <c r="O192" t="s">
        <v>32</v>
      </c>
      <c r="P192" s="3">
        <v>40954</v>
      </c>
      <c r="Q192" s="7">
        <f t="shared" ca="1" si="5"/>
        <v>14.172602739726027</v>
      </c>
      <c r="R192" t="s">
        <v>33</v>
      </c>
      <c r="S192" t="s">
        <v>109</v>
      </c>
      <c r="T192">
        <v>5</v>
      </c>
      <c r="U192" t="s">
        <v>58</v>
      </c>
      <c r="V192">
        <v>6</v>
      </c>
      <c r="W192">
        <v>4</v>
      </c>
      <c r="X192">
        <v>13</v>
      </c>
    </row>
    <row r="193" spans="1:24" x14ac:dyDescent="0.3">
      <c r="A193" t="s">
        <v>300</v>
      </c>
      <c r="B193">
        <v>10025</v>
      </c>
      <c r="C193" t="s">
        <v>435</v>
      </c>
      <c r="D193">
        <v>1</v>
      </c>
      <c r="E193">
        <v>5</v>
      </c>
      <c r="F193">
        <v>4</v>
      </c>
      <c r="G193">
        <v>72460</v>
      </c>
      <c r="H193">
        <v>20</v>
      </c>
      <c r="I193" t="s">
        <v>37</v>
      </c>
      <c r="J193" t="s">
        <v>24</v>
      </c>
      <c r="K193">
        <v>2126</v>
      </c>
      <c r="L193" s="3">
        <v>25662</v>
      </c>
      <c r="M193" s="5">
        <f t="shared" ca="1" si="4"/>
        <v>56</v>
      </c>
      <c r="N193" t="s">
        <v>38</v>
      </c>
      <c r="O193" t="s">
        <v>26</v>
      </c>
      <c r="P193" s="3">
        <v>41407</v>
      </c>
      <c r="Q193" s="7">
        <f t="shared" ca="1" si="5"/>
        <v>12.931506849315069</v>
      </c>
      <c r="R193" t="s">
        <v>27</v>
      </c>
      <c r="S193" t="s">
        <v>39</v>
      </c>
      <c r="T193">
        <v>20</v>
      </c>
      <c r="U193" t="s">
        <v>35</v>
      </c>
      <c r="V193">
        <v>0</v>
      </c>
      <c r="W193">
        <v>0</v>
      </c>
      <c r="X193">
        <v>1</v>
      </c>
    </row>
    <row r="194" spans="1:24" x14ac:dyDescent="0.3">
      <c r="A194" t="s">
        <v>301</v>
      </c>
      <c r="B194">
        <v>10223</v>
      </c>
      <c r="C194" t="s">
        <v>436</v>
      </c>
      <c r="D194">
        <v>3</v>
      </c>
      <c r="E194">
        <v>5</v>
      </c>
      <c r="F194">
        <v>3</v>
      </c>
      <c r="G194">
        <v>72106</v>
      </c>
      <c r="H194">
        <v>20</v>
      </c>
      <c r="I194" t="s">
        <v>37</v>
      </c>
      <c r="J194" t="s">
        <v>24</v>
      </c>
      <c r="K194">
        <v>2127</v>
      </c>
      <c r="L194" s="3">
        <v>27831</v>
      </c>
      <c r="M194" s="5">
        <f t="shared" ca="1" si="4"/>
        <v>50</v>
      </c>
      <c r="N194" t="s">
        <v>25</v>
      </c>
      <c r="O194" t="s">
        <v>26</v>
      </c>
      <c r="P194" s="3">
        <v>41153</v>
      </c>
      <c r="Q194" s="7">
        <f t="shared" ca="1" si="5"/>
        <v>13.627397260273973</v>
      </c>
      <c r="R194" t="s">
        <v>27</v>
      </c>
      <c r="S194" t="s">
        <v>69</v>
      </c>
      <c r="T194">
        <v>18</v>
      </c>
      <c r="U194" t="s">
        <v>58</v>
      </c>
      <c r="V194">
        <v>0</v>
      </c>
      <c r="W194">
        <v>0</v>
      </c>
      <c r="X194">
        <v>12</v>
      </c>
    </row>
    <row r="195" spans="1:24" x14ac:dyDescent="0.3">
      <c r="A195" t="s">
        <v>302</v>
      </c>
      <c r="B195">
        <v>10151</v>
      </c>
      <c r="C195" t="s">
        <v>435</v>
      </c>
      <c r="D195">
        <v>1</v>
      </c>
      <c r="E195">
        <v>3</v>
      </c>
      <c r="F195">
        <v>3</v>
      </c>
      <c r="G195">
        <v>52599</v>
      </c>
      <c r="H195">
        <v>15</v>
      </c>
      <c r="I195" t="s">
        <v>181</v>
      </c>
      <c r="J195" t="s">
        <v>24</v>
      </c>
      <c r="K195">
        <v>2048</v>
      </c>
      <c r="L195" s="3">
        <v>28949</v>
      </c>
      <c r="M195" s="5">
        <f t="shared" ref="M195:M257" ca="1" si="6">DATEDIF(L195,TODAY(),"Y")</f>
        <v>47</v>
      </c>
      <c r="N195" t="s">
        <v>38</v>
      </c>
      <c r="O195" t="s">
        <v>32</v>
      </c>
      <c r="P195" s="3">
        <v>42051</v>
      </c>
      <c r="Q195" s="7">
        <f t="shared" ref="Q195:Q257" ca="1" si="7">(TODAY()-P195)/365</f>
        <v>11.167123287671233</v>
      </c>
      <c r="R195" t="s">
        <v>33</v>
      </c>
      <c r="S195" t="s">
        <v>61</v>
      </c>
      <c r="T195">
        <v>7</v>
      </c>
      <c r="U195" t="s">
        <v>82</v>
      </c>
      <c r="V195">
        <v>6</v>
      </c>
      <c r="W195">
        <v>0</v>
      </c>
      <c r="X195">
        <v>6</v>
      </c>
    </row>
    <row r="196" spans="1:24" x14ac:dyDescent="0.3">
      <c r="A196" t="s">
        <v>303</v>
      </c>
      <c r="B196">
        <v>10254</v>
      </c>
      <c r="C196" t="s">
        <v>435</v>
      </c>
      <c r="D196">
        <v>1</v>
      </c>
      <c r="E196">
        <v>5</v>
      </c>
      <c r="F196">
        <v>3</v>
      </c>
      <c r="G196">
        <v>63430</v>
      </c>
      <c r="H196">
        <v>19</v>
      </c>
      <c r="I196" t="s">
        <v>23</v>
      </c>
      <c r="J196" t="s">
        <v>24</v>
      </c>
      <c r="K196">
        <v>2453</v>
      </c>
      <c r="L196" s="3">
        <v>30870</v>
      </c>
      <c r="M196" s="5">
        <f t="shared" ca="1" si="6"/>
        <v>41</v>
      </c>
      <c r="N196" t="s">
        <v>38</v>
      </c>
      <c r="O196" t="s">
        <v>43</v>
      </c>
      <c r="P196" s="3">
        <v>41278</v>
      </c>
      <c r="Q196" s="7">
        <f t="shared" ca="1" si="7"/>
        <v>13.284931506849315</v>
      </c>
      <c r="R196" t="s">
        <v>27</v>
      </c>
      <c r="S196" t="s">
        <v>41</v>
      </c>
      <c r="T196">
        <v>16</v>
      </c>
      <c r="U196" t="s">
        <v>29</v>
      </c>
      <c r="V196">
        <v>0</v>
      </c>
      <c r="W196">
        <v>0</v>
      </c>
      <c r="X196">
        <v>18</v>
      </c>
    </row>
    <row r="197" spans="1:24" x14ac:dyDescent="0.3">
      <c r="A197" t="s">
        <v>304</v>
      </c>
      <c r="B197">
        <v>10120</v>
      </c>
      <c r="C197" t="s">
        <v>436</v>
      </c>
      <c r="D197">
        <v>1</v>
      </c>
      <c r="E197">
        <v>5</v>
      </c>
      <c r="F197">
        <v>3</v>
      </c>
      <c r="G197">
        <v>74417</v>
      </c>
      <c r="H197">
        <v>20</v>
      </c>
      <c r="I197" t="s">
        <v>37</v>
      </c>
      <c r="J197" t="s">
        <v>24</v>
      </c>
      <c r="K197">
        <v>1460</v>
      </c>
      <c r="L197" s="3">
        <v>27041</v>
      </c>
      <c r="M197" s="5">
        <f t="shared" ca="1" si="6"/>
        <v>52</v>
      </c>
      <c r="N197" t="s">
        <v>25</v>
      </c>
      <c r="O197" t="s">
        <v>99</v>
      </c>
      <c r="P197" s="3">
        <v>41407</v>
      </c>
      <c r="Q197" s="7">
        <f t="shared" ca="1" si="7"/>
        <v>12.931506849315069</v>
      </c>
      <c r="R197" t="s">
        <v>27</v>
      </c>
      <c r="S197" t="s">
        <v>28</v>
      </c>
      <c r="T197">
        <v>22</v>
      </c>
      <c r="U197" t="s">
        <v>29</v>
      </c>
      <c r="V197">
        <v>0</v>
      </c>
      <c r="W197">
        <v>0</v>
      </c>
      <c r="X197">
        <v>11</v>
      </c>
    </row>
    <row r="198" spans="1:24" x14ac:dyDescent="0.3">
      <c r="A198" t="s">
        <v>305</v>
      </c>
      <c r="B198">
        <v>10216</v>
      </c>
      <c r="C198" t="s">
        <v>436</v>
      </c>
      <c r="D198">
        <v>1</v>
      </c>
      <c r="E198">
        <v>5</v>
      </c>
      <c r="F198">
        <v>3</v>
      </c>
      <c r="G198">
        <v>57575</v>
      </c>
      <c r="H198">
        <v>19</v>
      </c>
      <c r="I198" t="s">
        <v>23</v>
      </c>
      <c r="J198" t="s">
        <v>24</v>
      </c>
      <c r="K198">
        <v>1550</v>
      </c>
      <c r="L198" s="3">
        <v>29437</v>
      </c>
      <c r="M198" s="5">
        <f t="shared" ca="1" si="6"/>
        <v>45</v>
      </c>
      <c r="N198" t="s">
        <v>25</v>
      </c>
      <c r="O198" t="s">
        <v>26</v>
      </c>
      <c r="P198" s="3">
        <v>41493</v>
      </c>
      <c r="Q198" s="7">
        <f t="shared" ca="1" si="7"/>
        <v>12.695890410958905</v>
      </c>
      <c r="R198" t="s">
        <v>27</v>
      </c>
      <c r="S198" t="s">
        <v>39</v>
      </c>
      <c r="T198">
        <v>20</v>
      </c>
      <c r="U198" t="s">
        <v>29</v>
      </c>
      <c r="V198">
        <v>0</v>
      </c>
      <c r="W198">
        <v>0</v>
      </c>
      <c r="X198">
        <v>13</v>
      </c>
    </row>
    <row r="199" spans="1:24" x14ac:dyDescent="0.3">
      <c r="A199" t="s">
        <v>306</v>
      </c>
      <c r="B199">
        <v>10215</v>
      </c>
      <c r="C199" t="s">
        <v>436</v>
      </c>
      <c r="D199">
        <v>5</v>
      </c>
      <c r="E199">
        <v>5</v>
      </c>
      <c r="F199">
        <v>3</v>
      </c>
      <c r="G199">
        <v>50470</v>
      </c>
      <c r="H199">
        <v>19</v>
      </c>
      <c r="I199" t="s">
        <v>23</v>
      </c>
      <c r="J199" t="s">
        <v>24</v>
      </c>
      <c r="K199">
        <v>2110</v>
      </c>
      <c r="L199" s="3">
        <v>32544</v>
      </c>
      <c r="M199" s="5">
        <f t="shared" ca="1" si="6"/>
        <v>37</v>
      </c>
      <c r="N199" t="s">
        <v>25</v>
      </c>
      <c r="O199" t="s">
        <v>26</v>
      </c>
      <c r="P199" s="3">
        <v>40812</v>
      </c>
      <c r="Q199" s="7">
        <f t="shared" ca="1" si="7"/>
        <v>14.561643835616438</v>
      </c>
      <c r="R199" t="s">
        <v>27</v>
      </c>
      <c r="S199" t="s">
        <v>44</v>
      </c>
      <c r="T199">
        <v>39</v>
      </c>
      <c r="U199" t="s">
        <v>58</v>
      </c>
      <c r="V199">
        <v>0</v>
      </c>
      <c r="W199">
        <v>0</v>
      </c>
      <c r="X199">
        <v>19</v>
      </c>
    </row>
    <row r="200" spans="1:24" x14ac:dyDescent="0.3">
      <c r="A200" t="s">
        <v>307</v>
      </c>
      <c r="B200">
        <v>10185</v>
      </c>
      <c r="C200" t="s">
        <v>436</v>
      </c>
      <c r="D200">
        <v>5</v>
      </c>
      <c r="E200">
        <v>5</v>
      </c>
      <c r="F200">
        <v>3</v>
      </c>
      <c r="G200">
        <v>46664</v>
      </c>
      <c r="H200">
        <v>19</v>
      </c>
      <c r="I200" t="s">
        <v>23</v>
      </c>
      <c r="J200" t="s">
        <v>24</v>
      </c>
      <c r="K200">
        <v>2421</v>
      </c>
      <c r="L200" s="3">
        <v>30350</v>
      </c>
      <c r="M200" s="5">
        <f t="shared" ca="1" si="6"/>
        <v>43</v>
      </c>
      <c r="N200" t="s">
        <v>25</v>
      </c>
      <c r="O200" t="s">
        <v>32</v>
      </c>
      <c r="P200" s="3">
        <v>41278</v>
      </c>
      <c r="Q200" s="7">
        <f t="shared" ca="1" si="7"/>
        <v>13.284931506849315</v>
      </c>
      <c r="R200" t="s">
        <v>27</v>
      </c>
      <c r="S200" t="s">
        <v>47</v>
      </c>
      <c r="T200">
        <v>11</v>
      </c>
      <c r="U200" t="s">
        <v>55</v>
      </c>
      <c r="V200">
        <v>0</v>
      </c>
      <c r="W200">
        <v>0</v>
      </c>
      <c r="X200">
        <v>10</v>
      </c>
    </row>
    <row r="201" spans="1:24" x14ac:dyDescent="0.3">
      <c r="A201" t="s">
        <v>308</v>
      </c>
      <c r="B201">
        <v>10063</v>
      </c>
      <c r="C201" t="s">
        <v>436</v>
      </c>
      <c r="D201">
        <v>3</v>
      </c>
      <c r="E201">
        <v>5</v>
      </c>
      <c r="F201">
        <v>3</v>
      </c>
      <c r="G201">
        <v>48495</v>
      </c>
      <c r="H201">
        <v>19</v>
      </c>
      <c r="I201" t="s">
        <v>23</v>
      </c>
      <c r="J201" t="s">
        <v>24</v>
      </c>
      <c r="K201">
        <v>2136</v>
      </c>
      <c r="L201" s="3">
        <v>28341</v>
      </c>
      <c r="M201" s="5">
        <f t="shared" ca="1" si="6"/>
        <v>48</v>
      </c>
      <c r="N201" t="s">
        <v>25</v>
      </c>
      <c r="O201" t="s">
        <v>32</v>
      </c>
      <c r="P201" s="3">
        <v>41978</v>
      </c>
      <c r="Q201" s="7">
        <f t="shared" ca="1" si="7"/>
        <v>11.367123287671232</v>
      </c>
      <c r="R201" t="s">
        <v>27</v>
      </c>
      <c r="S201" t="s">
        <v>54</v>
      </c>
      <c r="T201">
        <v>19</v>
      </c>
      <c r="U201" t="s">
        <v>29</v>
      </c>
      <c r="V201">
        <v>0</v>
      </c>
      <c r="W201">
        <v>0</v>
      </c>
      <c r="X201">
        <v>11</v>
      </c>
    </row>
    <row r="202" spans="1:24" x14ac:dyDescent="0.3">
      <c r="A202" t="s">
        <v>309</v>
      </c>
      <c r="B202">
        <v>10037</v>
      </c>
      <c r="C202" t="s">
        <v>435</v>
      </c>
      <c r="D202">
        <v>1</v>
      </c>
      <c r="E202">
        <v>5</v>
      </c>
      <c r="F202">
        <v>4</v>
      </c>
      <c r="G202">
        <v>52984</v>
      </c>
      <c r="H202">
        <v>19</v>
      </c>
      <c r="I202" t="s">
        <v>23</v>
      </c>
      <c r="J202" t="s">
        <v>24</v>
      </c>
      <c r="K202">
        <v>1810</v>
      </c>
      <c r="L202" s="3">
        <v>24537</v>
      </c>
      <c r="M202" s="5">
        <f t="shared" ca="1" si="6"/>
        <v>59</v>
      </c>
      <c r="N202" t="s">
        <v>38</v>
      </c>
      <c r="O202" t="s">
        <v>99</v>
      </c>
      <c r="P202" s="3">
        <v>41278</v>
      </c>
      <c r="Q202" s="7">
        <f t="shared" ca="1" si="7"/>
        <v>13.284931506849315</v>
      </c>
      <c r="R202" t="s">
        <v>27</v>
      </c>
      <c r="S202" t="s">
        <v>57</v>
      </c>
      <c r="T202">
        <v>12</v>
      </c>
      <c r="U202" t="s">
        <v>58</v>
      </c>
      <c r="V202">
        <v>0</v>
      </c>
      <c r="W202">
        <v>0</v>
      </c>
      <c r="X202">
        <v>12</v>
      </c>
    </row>
    <row r="203" spans="1:24" x14ac:dyDescent="0.3">
      <c r="A203" t="s">
        <v>310</v>
      </c>
      <c r="B203">
        <v>10042</v>
      </c>
      <c r="C203" t="s">
        <v>435</v>
      </c>
      <c r="D203">
        <v>1</v>
      </c>
      <c r="E203">
        <v>6</v>
      </c>
      <c r="F203">
        <v>3</v>
      </c>
      <c r="G203">
        <v>63695</v>
      </c>
      <c r="H203">
        <v>3</v>
      </c>
      <c r="I203" t="s">
        <v>101</v>
      </c>
      <c r="J203" t="s">
        <v>311</v>
      </c>
      <c r="K203">
        <v>30428</v>
      </c>
      <c r="L203" s="3">
        <v>32815</v>
      </c>
      <c r="M203" s="5">
        <f t="shared" ca="1" si="6"/>
        <v>36</v>
      </c>
      <c r="N203" t="s">
        <v>38</v>
      </c>
      <c r="O203" t="s">
        <v>26</v>
      </c>
      <c r="P203" s="3">
        <v>41493</v>
      </c>
      <c r="Q203" s="7">
        <f t="shared" ca="1" si="7"/>
        <v>12.695890410958905</v>
      </c>
      <c r="R203" t="s">
        <v>103</v>
      </c>
      <c r="S203" t="s">
        <v>122</v>
      </c>
      <c r="T203">
        <v>21</v>
      </c>
      <c r="U203" t="s">
        <v>35</v>
      </c>
      <c r="V203">
        <v>0</v>
      </c>
      <c r="W203">
        <v>0</v>
      </c>
      <c r="X203">
        <v>2</v>
      </c>
    </row>
    <row r="204" spans="1:24" x14ac:dyDescent="0.3">
      <c r="A204" t="s">
        <v>312</v>
      </c>
      <c r="B204">
        <v>10206</v>
      </c>
      <c r="C204" t="s">
        <v>435</v>
      </c>
      <c r="D204">
        <v>1</v>
      </c>
      <c r="E204">
        <v>5</v>
      </c>
      <c r="F204">
        <v>3</v>
      </c>
      <c r="G204">
        <v>62061</v>
      </c>
      <c r="H204">
        <v>19</v>
      </c>
      <c r="I204" t="s">
        <v>23</v>
      </c>
      <c r="J204" t="s">
        <v>24</v>
      </c>
      <c r="K204">
        <v>2132</v>
      </c>
      <c r="L204" s="3">
        <v>30870</v>
      </c>
      <c r="M204" s="5">
        <f t="shared" ca="1" si="6"/>
        <v>41</v>
      </c>
      <c r="N204" t="s">
        <v>38</v>
      </c>
      <c r="O204" t="s">
        <v>26</v>
      </c>
      <c r="P204" s="3">
        <v>41493</v>
      </c>
      <c r="Q204" s="7">
        <f t="shared" ca="1" si="7"/>
        <v>12.695890410958905</v>
      </c>
      <c r="R204" t="s">
        <v>27</v>
      </c>
      <c r="S204" t="s">
        <v>63</v>
      </c>
      <c r="T204">
        <v>14</v>
      </c>
      <c r="U204" t="s">
        <v>29</v>
      </c>
      <c r="V204">
        <v>0</v>
      </c>
      <c r="W204">
        <v>0</v>
      </c>
      <c r="X204">
        <v>4</v>
      </c>
    </row>
    <row r="205" spans="1:24" x14ac:dyDescent="0.3">
      <c r="A205" t="s">
        <v>313</v>
      </c>
      <c r="B205">
        <v>10104</v>
      </c>
      <c r="C205" t="s">
        <v>435</v>
      </c>
      <c r="D205">
        <v>1</v>
      </c>
      <c r="E205">
        <v>5</v>
      </c>
      <c r="F205">
        <v>3</v>
      </c>
      <c r="G205">
        <v>66738</v>
      </c>
      <c r="H205">
        <v>20</v>
      </c>
      <c r="I205" t="s">
        <v>37</v>
      </c>
      <c r="J205" t="s">
        <v>24</v>
      </c>
      <c r="K205">
        <v>1040</v>
      </c>
      <c r="L205" s="3">
        <v>31117</v>
      </c>
      <c r="M205" s="5">
        <f t="shared" ca="1" si="6"/>
        <v>41</v>
      </c>
      <c r="N205" t="s">
        <v>38</v>
      </c>
      <c r="O205" t="s">
        <v>26</v>
      </c>
      <c r="P205" s="3">
        <v>41923</v>
      </c>
      <c r="Q205" s="7">
        <f t="shared" ca="1" si="7"/>
        <v>11.517808219178082</v>
      </c>
      <c r="R205" t="s">
        <v>27</v>
      </c>
      <c r="S205" t="s">
        <v>41</v>
      </c>
      <c r="T205">
        <v>16</v>
      </c>
      <c r="U205" t="s">
        <v>35</v>
      </c>
      <c r="V205">
        <v>0</v>
      </c>
      <c r="W205">
        <v>0</v>
      </c>
      <c r="X205">
        <v>5</v>
      </c>
    </row>
    <row r="206" spans="1:24" x14ac:dyDescent="0.3">
      <c r="A206" t="s">
        <v>314</v>
      </c>
      <c r="B206">
        <v>10303</v>
      </c>
      <c r="C206" t="s">
        <v>435</v>
      </c>
      <c r="D206">
        <v>4</v>
      </c>
      <c r="E206">
        <v>5</v>
      </c>
      <c r="F206">
        <v>1</v>
      </c>
      <c r="G206">
        <v>52674</v>
      </c>
      <c r="H206">
        <v>19</v>
      </c>
      <c r="I206" t="s">
        <v>23</v>
      </c>
      <c r="J206" t="s">
        <v>24</v>
      </c>
      <c r="K206">
        <v>2152</v>
      </c>
      <c r="L206" s="3">
        <v>29289</v>
      </c>
      <c r="M206" s="5">
        <f t="shared" ca="1" si="6"/>
        <v>46</v>
      </c>
      <c r="N206" t="s">
        <v>38</v>
      </c>
      <c r="O206" t="s">
        <v>26</v>
      </c>
      <c r="P206" s="3">
        <v>41729</v>
      </c>
      <c r="Q206" s="7">
        <f t="shared" ca="1" si="7"/>
        <v>12.049315068493151</v>
      </c>
      <c r="R206" t="s">
        <v>27</v>
      </c>
      <c r="S206" t="s">
        <v>39</v>
      </c>
      <c r="T206">
        <v>20</v>
      </c>
      <c r="U206" t="s">
        <v>29</v>
      </c>
      <c r="V206">
        <v>0</v>
      </c>
      <c r="W206">
        <v>6</v>
      </c>
      <c r="X206">
        <v>3</v>
      </c>
    </row>
    <row r="207" spans="1:24" x14ac:dyDescent="0.3">
      <c r="A207" t="s">
        <v>315</v>
      </c>
      <c r="B207">
        <v>10078</v>
      </c>
      <c r="C207" t="s">
        <v>435</v>
      </c>
      <c r="D207">
        <v>5</v>
      </c>
      <c r="E207">
        <v>5</v>
      </c>
      <c r="F207">
        <v>3</v>
      </c>
      <c r="G207">
        <v>71966</v>
      </c>
      <c r="H207">
        <v>20</v>
      </c>
      <c r="I207" t="s">
        <v>37</v>
      </c>
      <c r="J207" t="s">
        <v>24</v>
      </c>
      <c r="K207">
        <v>2492</v>
      </c>
      <c r="L207" s="3">
        <v>19300</v>
      </c>
      <c r="M207" s="5">
        <f t="shared" ca="1" si="6"/>
        <v>73</v>
      </c>
      <c r="N207" t="s">
        <v>38</v>
      </c>
      <c r="O207" t="s">
        <v>32</v>
      </c>
      <c r="P207" s="3">
        <v>41043</v>
      </c>
      <c r="Q207" s="7">
        <f t="shared" ca="1" si="7"/>
        <v>13.92876712328767</v>
      </c>
      <c r="R207" t="s">
        <v>27</v>
      </c>
      <c r="S207" t="s">
        <v>44</v>
      </c>
      <c r="T207">
        <v>39</v>
      </c>
      <c r="U207" t="s">
        <v>29</v>
      </c>
      <c r="V207">
        <v>0</v>
      </c>
      <c r="W207">
        <v>0</v>
      </c>
      <c r="X207">
        <v>17</v>
      </c>
    </row>
    <row r="208" spans="1:24" x14ac:dyDescent="0.3">
      <c r="A208" t="s">
        <v>316</v>
      </c>
      <c r="B208">
        <v>10121</v>
      </c>
      <c r="C208" t="s">
        <v>435</v>
      </c>
      <c r="D208">
        <v>1</v>
      </c>
      <c r="E208">
        <v>6</v>
      </c>
      <c r="F208">
        <v>3</v>
      </c>
      <c r="G208">
        <v>63051</v>
      </c>
      <c r="H208">
        <v>3</v>
      </c>
      <c r="I208" t="s">
        <v>101</v>
      </c>
      <c r="J208" t="s">
        <v>317</v>
      </c>
      <c r="K208">
        <v>33174</v>
      </c>
      <c r="L208" s="3">
        <v>33182</v>
      </c>
      <c r="M208" s="5">
        <f t="shared" ca="1" si="6"/>
        <v>35</v>
      </c>
      <c r="N208" t="s">
        <v>38</v>
      </c>
      <c r="O208" t="s">
        <v>26</v>
      </c>
      <c r="P208" s="3">
        <v>41547</v>
      </c>
      <c r="Q208" s="7">
        <f t="shared" ca="1" si="7"/>
        <v>12.547945205479452</v>
      </c>
      <c r="R208" t="s">
        <v>103</v>
      </c>
      <c r="S208" t="s">
        <v>122</v>
      </c>
      <c r="T208">
        <v>21</v>
      </c>
      <c r="U208" t="s">
        <v>35</v>
      </c>
      <c r="V208">
        <v>0</v>
      </c>
      <c r="W208">
        <v>0</v>
      </c>
      <c r="X208">
        <v>1</v>
      </c>
    </row>
    <row r="209" spans="1:24" x14ac:dyDescent="0.3">
      <c r="A209" t="s">
        <v>318</v>
      </c>
      <c r="B209">
        <v>10021</v>
      </c>
      <c r="C209" t="s">
        <v>436</v>
      </c>
      <c r="D209">
        <v>1</v>
      </c>
      <c r="E209">
        <v>5</v>
      </c>
      <c r="F209">
        <v>4</v>
      </c>
      <c r="G209">
        <v>47414</v>
      </c>
      <c r="H209">
        <v>19</v>
      </c>
      <c r="I209" t="s">
        <v>23</v>
      </c>
      <c r="J209" t="s">
        <v>24</v>
      </c>
      <c r="K209">
        <v>2478</v>
      </c>
      <c r="L209" s="3">
        <v>28076</v>
      </c>
      <c r="M209" s="5">
        <f t="shared" ca="1" si="6"/>
        <v>49</v>
      </c>
      <c r="N209" t="s">
        <v>25</v>
      </c>
      <c r="O209" t="s">
        <v>32</v>
      </c>
      <c r="P209" s="3">
        <v>41547</v>
      </c>
      <c r="Q209" s="7">
        <f t="shared" ca="1" si="7"/>
        <v>12.547945205479452</v>
      </c>
      <c r="R209" t="s">
        <v>27</v>
      </c>
      <c r="S209" t="s">
        <v>69</v>
      </c>
      <c r="T209">
        <v>18</v>
      </c>
      <c r="U209" t="s">
        <v>29</v>
      </c>
      <c r="V209">
        <v>0</v>
      </c>
      <c r="W209">
        <v>0</v>
      </c>
      <c r="X209">
        <v>13</v>
      </c>
    </row>
    <row r="210" spans="1:24" x14ac:dyDescent="0.3">
      <c r="A210" t="s">
        <v>319</v>
      </c>
      <c r="B210">
        <v>10281</v>
      </c>
      <c r="C210" t="s">
        <v>436</v>
      </c>
      <c r="D210">
        <v>1</v>
      </c>
      <c r="E210">
        <v>5</v>
      </c>
      <c r="F210">
        <v>2</v>
      </c>
      <c r="G210">
        <v>53060</v>
      </c>
      <c r="H210">
        <v>19</v>
      </c>
      <c r="I210" t="s">
        <v>23</v>
      </c>
      <c r="J210" t="s">
        <v>24</v>
      </c>
      <c r="K210">
        <v>1760</v>
      </c>
      <c r="L210" s="3">
        <v>28956</v>
      </c>
      <c r="M210" s="5">
        <f t="shared" ca="1" si="6"/>
        <v>47</v>
      </c>
      <c r="N210" t="s">
        <v>25</v>
      </c>
      <c r="O210" t="s">
        <v>26</v>
      </c>
      <c r="P210" s="3">
        <v>41687</v>
      </c>
      <c r="Q210" s="7">
        <f t="shared" ca="1" si="7"/>
        <v>12.164383561643836</v>
      </c>
      <c r="R210" t="s">
        <v>27</v>
      </c>
      <c r="S210" t="s">
        <v>28</v>
      </c>
      <c r="T210">
        <v>22</v>
      </c>
      <c r="U210" t="s">
        <v>29</v>
      </c>
      <c r="V210">
        <v>0</v>
      </c>
      <c r="W210">
        <v>4</v>
      </c>
      <c r="X210">
        <v>6</v>
      </c>
    </row>
    <row r="211" spans="1:24" x14ac:dyDescent="0.3">
      <c r="A211" t="s">
        <v>320</v>
      </c>
      <c r="B211">
        <v>10041</v>
      </c>
      <c r="C211" t="s">
        <v>436</v>
      </c>
      <c r="D211">
        <v>1</v>
      </c>
      <c r="E211">
        <v>6</v>
      </c>
      <c r="F211">
        <v>3</v>
      </c>
      <c r="G211">
        <v>68829</v>
      </c>
      <c r="H211">
        <v>3</v>
      </c>
      <c r="I211" t="s">
        <v>101</v>
      </c>
      <c r="J211" t="s">
        <v>321</v>
      </c>
      <c r="K211">
        <v>27229</v>
      </c>
      <c r="L211" s="3">
        <v>30260</v>
      </c>
      <c r="M211" s="5">
        <f t="shared" ca="1" si="6"/>
        <v>43</v>
      </c>
      <c r="N211" t="s">
        <v>25</v>
      </c>
      <c r="O211" t="s">
        <v>26</v>
      </c>
      <c r="P211" s="3">
        <v>42125</v>
      </c>
      <c r="Q211" s="7">
        <f t="shared" ca="1" si="7"/>
        <v>10.964383561643835</v>
      </c>
      <c r="R211" t="s">
        <v>103</v>
      </c>
      <c r="S211" t="s">
        <v>104</v>
      </c>
      <c r="T211">
        <v>17</v>
      </c>
      <c r="U211" t="s">
        <v>159</v>
      </c>
      <c r="V211">
        <v>0</v>
      </c>
      <c r="W211">
        <v>0</v>
      </c>
      <c r="X211">
        <v>18</v>
      </c>
    </row>
    <row r="212" spans="1:24" x14ac:dyDescent="0.3">
      <c r="A212" t="s">
        <v>322</v>
      </c>
      <c r="B212">
        <v>10148</v>
      </c>
      <c r="C212" t="s">
        <v>435</v>
      </c>
      <c r="D212">
        <v>5</v>
      </c>
      <c r="E212">
        <v>5</v>
      </c>
      <c r="F212">
        <v>3</v>
      </c>
      <c r="G212">
        <v>63515</v>
      </c>
      <c r="H212">
        <v>19</v>
      </c>
      <c r="I212" t="s">
        <v>23</v>
      </c>
      <c r="J212" t="s">
        <v>24</v>
      </c>
      <c r="K212">
        <v>2351</v>
      </c>
      <c r="L212" s="3">
        <v>28860</v>
      </c>
      <c r="M212" s="5">
        <f t="shared" ca="1" si="6"/>
        <v>47</v>
      </c>
      <c r="N212" t="s">
        <v>38</v>
      </c>
      <c r="O212" t="s">
        <v>32</v>
      </c>
      <c r="P212" s="3">
        <v>40726</v>
      </c>
      <c r="Q212" s="7">
        <f t="shared" ca="1" si="7"/>
        <v>14.797260273972602</v>
      </c>
      <c r="R212" t="s">
        <v>27</v>
      </c>
      <c r="S212" t="s">
        <v>41</v>
      </c>
      <c r="T212">
        <v>16</v>
      </c>
      <c r="U212" t="s">
        <v>45</v>
      </c>
      <c r="V212">
        <v>0</v>
      </c>
      <c r="W212">
        <v>0</v>
      </c>
      <c r="X212">
        <v>7</v>
      </c>
    </row>
    <row r="213" spans="1:24" x14ac:dyDescent="0.3">
      <c r="A213" t="s">
        <v>323</v>
      </c>
      <c r="B213">
        <v>10005</v>
      </c>
      <c r="C213" t="s">
        <v>436</v>
      </c>
      <c r="D213">
        <v>5</v>
      </c>
      <c r="E213">
        <v>4</v>
      </c>
      <c r="F213">
        <v>4</v>
      </c>
      <c r="G213">
        <v>108987</v>
      </c>
      <c r="H213">
        <v>24</v>
      </c>
      <c r="I213" t="s">
        <v>49</v>
      </c>
      <c r="J213" t="s">
        <v>24</v>
      </c>
      <c r="K213">
        <v>1844</v>
      </c>
      <c r="L213" s="3">
        <v>28888</v>
      </c>
      <c r="M213" s="5">
        <f t="shared" ca="1" si="6"/>
        <v>47</v>
      </c>
      <c r="N213" t="s">
        <v>25</v>
      </c>
      <c r="O213" t="s">
        <v>26</v>
      </c>
      <c r="P213" s="3">
        <v>40735</v>
      </c>
      <c r="Q213" s="7">
        <f t="shared" ca="1" si="7"/>
        <v>14.772602739726027</v>
      </c>
      <c r="R213" t="s">
        <v>50</v>
      </c>
      <c r="S213" t="s">
        <v>51</v>
      </c>
      <c r="T213">
        <v>10</v>
      </c>
      <c r="U213" t="s">
        <v>58</v>
      </c>
      <c r="V213">
        <v>3</v>
      </c>
      <c r="W213">
        <v>0</v>
      </c>
      <c r="X213">
        <v>13</v>
      </c>
    </row>
    <row r="214" spans="1:24" x14ac:dyDescent="0.3">
      <c r="A214" t="s">
        <v>324</v>
      </c>
      <c r="B214">
        <v>10259</v>
      </c>
      <c r="C214" t="s">
        <v>436</v>
      </c>
      <c r="D214">
        <v>5</v>
      </c>
      <c r="E214">
        <v>3</v>
      </c>
      <c r="F214">
        <v>3</v>
      </c>
      <c r="G214">
        <v>93093</v>
      </c>
      <c r="H214">
        <v>9</v>
      </c>
      <c r="I214" t="s">
        <v>66</v>
      </c>
      <c r="J214" t="s">
        <v>24</v>
      </c>
      <c r="K214">
        <v>2747</v>
      </c>
      <c r="L214" s="3">
        <v>30811</v>
      </c>
      <c r="M214" s="5">
        <f t="shared" ca="1" si="6"/>
        <v>41</v>
      </c>
      <c r="N214" t="s">
        <v>25</v>
      </c>
      <c r="O214" t="s">
        <v>32</v>
      </c>
      <c r="P214" s="3">
        <v>41651</v>
      </c>
      <c r="Q214" s="7">
        <f t="shared" ca="1" si="7"/>
        <v>12.263013698630138</v>
      </c>
      <c r="R214" t="s">
        <v>33</v>
      </c>
      <c r="S214" t="s">
        <v>34</v>
      </c>
      <c r="T214">
        <v>4</v>
      </c>
      <c r="U214" t="s">
        <v>55</v>
      </c>
      <c r="V214">
        <v>5</v>
      </c>
      <c r="W214">
        <v>0</v>
      </c>
      <c r="X214">
        <v>19</v>
      </c>
    </row>
    <row r="215" spans="1:24" x14ac:dyDescent="0.3">
      <c r="A215" t="s">
        <v>325</v>
      </c>
      <c r="B215">
        <v>10286</v>
      </c>
      <c r="C215" t="s">
        <v>436</v>
      </c>
      <c r="D215">
        <v>5</v>
      </c>
      <c r="E215">
        <v>5</v>
      </c>
      <c r="F215">
        <v>2</v>
      </c>
      <c r="G215">
        <v>53564</v>
      </c>
      <c r="H215">
        <v>19</v>
      </c>
      <c r="I215" t="s">
        <v>23</v>
      </c>
      <c r="J215" t="s">
        <v>24</v>
      </c>
      <c r="K215">
        <v>2458</v>
      </c>
      <c r="L215" s="3">
        <v>32327</v>
      </c>
      <c r="M215" s="5">
        <f t="shared" ca="1" si="6"/>
        <v>37</v>
      </c>
      <c r="N215" t="s">
        <v>25</v>
      </c>
      <c r="O215" t="s">
        <v>26</v>
      </c>
      <c r="P215" s="3">
        <v>40817</v>
      </c>
      <c r="Q215" s="7">
        <f t="shared" ca="1" si="7"/>
        <v>14.547945205479452</v>
      </c>
      <c r="R215" t="s">
        <v>27</v>
      </c>
      <c r="S215" t="s">
        <v>44</v>
      </c>
      <c r="T215">
        <v>39</v>
      </c>
      <c r="U215" t="s">
        <v>45</v>
      </c>
      <c r="V215">
        <v>0</v>
      </c>
      <c r="W215">
        <v>4</v>
      </c>
      <c r="X215">
        <v>15</v>
      </c>
    </row>
    <row r="216" spans="1:24" x14ac:dyDescent="0.3">
      <c r="A216" t="s">
        <v>326</v>
      </c>
      <c r="B216">
        <v>10297</v>
      </c>
      <c r="C216" t="s">
        <v>435</v>
      </c>
      <c r="D216">
        <v>5</v>
      </c>
      <c r="E216">
        <v>5</v>
      </c>
      <c r="F216">
        <v>2</v>
      </c>
      <c r="G216">
        <v>60270</v>
      </c>
      <c r="H216">
        <v>20</v>
      </c>
      <c r="I216" t="s">
        <v>37</v>
      </c>
      <c r="J216" t="s">
        <v>24</v>
      </c>
      <c r="K216">
        <v>2472</v>
      </c>
      <c r="L216" s="3">
        <v>32819</v>
      </c>
      <c r="M216" s="5">
        <f t="shared" ca="1" si="6"/>
        <v>36</v>
      </c>
      <c r="N216" t="s">
        <v>38</v>
      </c>
      <c r="O216" t="s">
        <v>32</v>
      </c>
      <c r="P216" s="3">
        <v>40670</v>
      </c>
      <c r="Q216" s="7">
        <f t="shared" ca="1" si="7"/>
        <v>14.950684931506849</v>
      </c>
      <c r="R216" t="s">
        <v>27</v>
      </c>
      <c r="S216" t="s">
        <v>47</v>
      </c>
      <c r="T216">
        <v>11</v>
      </c>
      <c r="U216" t="s">
        <v>82</v>
      </c>
      <c r="V216">
        <v>0</v>
      </c>
      <c r="W216">
        <v>5</v>
      </c>
      <c r="X216">
        <v>2</v>
      </c>
    </row>
    <row r="217" spans="1:24" x14ac:dyDescent="0.3">
      <c r="A217" t="s">
        <v>327</v>
      </c>
      <c r="B217">
        <v>10171</v>
      </c>
      <c r="C217" t="s">
        <v>435</v>
      </c>
      <c r="D217">
        <v>5</v>
      </c>
      <c r="E217">
        <v>5</v>
      </c>
      <c r="F217">
        <v>3</v>
      </c>
      <c r="G217">
        <v>45998</v>
      </c>
      <c r="H217">
        <v>19</v>
      </c>
      <c r="I217" t="s">
        <v>23</v>
      </c>
      <c r="J217" t="s">
        <v>24</v>
      </c>
      <c r="K217">
        <v>2176</v>
      </c>
      <c r="L217" s="3">
        <v>31450</v>
      </c>
      <c r="M217" s="5">
        <f t="shared" ca="1" si="6"/>
        <v>40</v>
      </c>
      <c r="N217" t="s">
        <v>38</v>
      </c>
      <c r="O217" t="s">
        <v>26</v>
      </c>
      <c r="P217" s="3">
        <v>40679</v>
      </c>
      <c r="Q217" s="7">
        <f t="shared" ca="1" si="7"/>
        <v>14.926027397260274</v>
      </c>
      <c r="R217" t="s">
        <v>27</v>
      </c>
      <c r="S217" t="s">
        <v>47</v>
      </c>
      <c r="T217">
        <v>11</v>
      </c>
      <c r="U217" t="s">
        <v>29</v>
      </c>
      <c r="V217">
        <v>0</v>
      </c>
      <c r="W217">
        <v>0</v>
      </c>
      <c r="X217">
        <v>5</v>
      </c>
    </row>
    <row r="218" spans="1:24" x14ac:dyDescent="0.3">
      <c r="A218" t="s">
        <v>328</v>
      </c>
      <c r="B218">
        <v>10032</v>
      </c>
      <c r="C218" t="s">
        <v>435</v>
      </c>
      <c r="D218">
        <v>5</v>
      </c>
      <c r="E218">
        <v>5</v>
      </c>
      <c r="F218">
        <v>4</v>
      </c>
      <c r="G218">
        <v>57954</v>
      </c>
      <c r="H218">
        <v>20</v>
      </c>
      <c r="I218" t="s">
        <v>37</v>
      </c>
      <c r="J218" t="s">
        <v>24</v>
      </c>
      <c r="K218">
        <v>1886</v>
      </c>
      <c r="L218" s="3">
        <v>31601</v>
      </c>
      <c r="M218" s="5">
        <f t="shared" ca="1" si="6"/>
        <v>39</v>
      </c>
      <c r="N218" t="s">
        <v>38</v>
      </c>
      <c r="O218" t="s">
        <v>32</v>
      </c>
      <c r="P218" s="3">
        <v>40679</v>
      </c>
      <c r="Q218" s="7">
        <f t="shared" ca="1" si="7"/>
        <v>14.926027397260274</v>
      </c>
      <c r="R218" t="s">
        <v>27</v>
      </c>
      <c r="S218" t="s">
        <v>54</v>
      </c>
      <c r="T218">
        <v>19</v>
      </c>
      <c r="U218" t="s">
        <v>35</v>
      </c>
      <c r="V218">
        <v>0</v>
      </c>
      <c r="W218">
        <v>0</v>
      </c>
      <c r="X218">
        <v>12</v>
      </c>
    </row>
    <row r="219" spans="1:24" x14ac:dyDescent="0.3">
      <c r="A219" t="s">
        <v>329</v>
      </c>
      <c r="B219">
        <v>10130</v>
      </c>
      <c r="C219" t="s">
        <v>435</v>
      </c>
      <c r="D219">
        <v>5</v>
      </c>
      <c r="E219">
        <v>5</v>
      </c>
      <c r="F219">
        <v>3</v>
      </c>
      <c r="G219">
        <v>74669</v>
      </c>
      <c r="H219">
        <v>18</v>
      </c>
      <c r="I219" t="s">
        <v>92</v>
      </c>
      <c r="J219" t="s">
        <v>24</v>
      </c>
      <c r="K219">
        <v>2030</v>
      </c>
      <c r="L219" s="3">
        <v>28373</v>
      </c>
      <c r="M219" s="5">
        <f t="shared" ca="1" si="6"/>
        <v>48</v>
      </c>
      <c r="N219" t="s">
        <v>38</v>
      </c>
      <c r="O219" t="s">
        <v>32</v>
      </c>
      <c r="P219" s="3">
        <v>40466</v>
      </c>
      <c r="Q219" s="7">
        <f t="shared" ca="1" si="7"/>
        <v>15.509589041095891</v>
      </c>
      <c r="R219" t="s">
        <v>27</v>
      </c>
      <c r="S219" t="s">
        <v>93</v>
      </c>
      <c r="T219">
        <v>2</v>
      </c>
      <c r="U219" t="s">
        <v>35</v>
      </c>
      <c r="V219">
        <v>0</v>
      </c>
      <c r="W219">
        <v>0</v>
      </c>
      <c r="X219">
        <v>6</v>
      </c>
    </row>
    <row r="220" spans="1:24" x14ac:dyDescent="0.3">
      <c r="A220" t="s">
        <v>330</v>
      </c>
      <c r="B220">
        <v>10217</v>
      </c>
      <c r="C220" t="s">
        <v>435</v>
      </c>
      <c r="D220">
        <v>1</v>
      </c>
      <c r="E220">
        <v>5</v>
      </c>
      <c r="F220">
        <v>3</v>
      </c>
      <c r="G220">
        <v>74226</v>
      </c>
      <c r="H220">
        <v>20</v>
      </c>
      <c r="I220" t="s">
        <v>37</v>
      </c>
      <c r="J220" t="s">
        <v>24</v>
      </c>
      <c r="K220">
        <v>2050</v>
      </c>
      <c r="L220" s="3">
        <v>29131</v>
      </c>
      <c r="M220" s="5">
        <f t="shared" ca="1" si="6"/>
        <v>46</v>
      </c>
      <c r="N220" t="s">
        <v>38</v>
      </c>
      <c r="O220" t="s">
        <v>32</v>
      </c>
      <c r="P220" s="3">
        <v>40943</v>
      </c>
      <c r="Q220" s="7">
        <f t="shared" ca="1" si="7"/>
        <v>14.202739726027398</v>
      </c>
      <c r="R220" t="s">
        <v>27</v>
      </c>
      <c r="S220" t="s">
        <v>57</v>
      </c>
      <c r="T220">
        <v>12</v>
      </c>
      <c r="U220" t="s">
        <v>29</v>
      </c>
      <c r="V220">
        <v>0</v>
      </c>
      <c r="W220">
        <v>0</v>
      </c>
      <c r="X220">
        <v>14</v>
      </c>
    </row>
    <row r="221" spans="1:24" x14ac:dyDescent="0.3">
      <c r="A221" t="s">
        <v>331</v>
      </c>
      <c r="B221">
        <v>10016</v>
      </c>
      <c r="C221" t="s">
        <v>435</v>
      </c>
      <c r="D221">
        <v>1</v>
      </c>
      <c r="E221">
        <v>3</v>
      </c>
      <c r="F221">
        <v>4</v>
      </c>
      <c r="G221">
        <v>93554</v>
      </c>
      <c r="H221">
        <v>9</v>
      </c>
      <c r="I221" t="s">
        <v>66</v>
      </c>
      <c r="J221" t="s">
        <v>24</v>
      </c>
      <c r="K221">
        <v>1886</v>
      </c>
      <c r="L221" s="3">
        <v>30842</v>
      </c>
      <c r="M221" s="5">
        <f t="shared" ca="1" si="6"/>
        <v>41</v>
      </c>
      <c r="N221" t="s">
        <v>38</v>
      </c>
      <c r="O221" t="s">
        <v>32</v>
      </c>
      <c r="P221" s="3">
        <v>41923</v>
      </c>
      <c r="Q221" s="7">
        <f t="shared" ca="1" si="7"/>
        <v>11.517808219178082</v>
      </c>
      <c r="R221" t="s">
        <v>33</v>
      </c>
      <c r="S221" t="s">
        <v>34</v>
      </c>
      <c r="T221">
        <v>4</v>
      </c>
      <c r="U221" t="s">
        <v>55</v>
      </c>
      <c r="V221">
        <v>7</v>
      </c>
      <c r="W221">
        <v>0</v>
      </c>
      <c r="X221">
        <v>16</v>
      </c>
    </row>
    <row r="222" spans="1:24" x14ac:dyDescent="0.3">
      <c r="A222" t="s">
        <v>332</v>
      </c>
      <c r="B222">
        <v>10050</v>
      </c>
      <c r="C222" t="s">
        <v>436</v>
      </c>
      <c r="D222">
        <v>5</v>
      </c>
      <c r="E222">
        <v>5</v>
      </c>
      <c r="F222">
        <v>3</v>
      </c>
      <c r="G222">
        <v>64724</v>
      </c>
      <c r="H222">
        <v>19</v>
      </c>
      <c r="I222" t="s">
        <v>23</v>
      </c>
      <c r="J222" t="s">
        <v>24</v>
      </c>
      <c r="K222">
        <v>2451</v>
      </c>
      <c r="L222" s="3">
        <v>32297</v>
      </c>
      <c r="M222" s="5">
        <f t="shared" ca="1" si="6"/>
        <v>37</v>
      </c>
      <c r="N222" t="s">
        <v>25</v>
      </c>
      <c r="O222" t="s">
        <v>32</v>
      </c>
      <c r="P222" s="3">
        <v>40670</v>
      </c>
      <c r="Q222" s="7">
        <f t="shared" ca="1" si="7"/>
        <v>14.950684931506849</v>
      </c>
      <c r="R222" t="s">
        <v>27</v>
      </c>
      <c r="S222" t="s">
        <v>57</v>
      </c>
      <c r="T222">
        <v>12</v>
      </c>
      <c r="U222" t="s">
        <v>45</v>
      </c>
      <c r="V222">
        <v>0</v>
      </c>
      <c r="W222">
        <v>0</v>
      </c>
      <c r="X222">
        <v>13</v>
      </c>
    </row>
    <row r="223" spans="1:24" x14ac:dyDescent="0.3">
      <c r="A223" t="s">
        <v>333</v>
      </c>
      <c r="B223">
        <v>10164</v>
      </c>
      <c r="C223" t="s">
        <v>436</v>
      </c>
      <c r="D223">
        <v>1</v>
      </c>
      <c r="E223">
        <v>5</v>
      </c>
      <c r="F223">
        <v>3</v>
      </c>
      <c r="G223">
        <v>47001</v>
      </c>
      <c r="H223">
        <v>19</v>
      </c>
      <c r="I223" t="s">
        <v>23</v>
      </c>
      <c r="J223" t="s">
        <v>24</v>
      </c>
      <c r="K223">
        <v>2451</v>
      </c>
      <c r="L223" s="3">
        <v>29656</v>
      </c>
      <c r="M223" s="5">
        <f t="shared" ca="1" si="6"/>
        <v>45</v>
      </c>
      <c r="N223" t="s">
        <v>25</v>
      </c>
      <c r="O223" t="s">
        <v>26</v>
      </c>
      <c r="P223" s="3">
        <v>39213</v>
      </c>
      <c r="Q223" s="7">
        <f t="shared" ca="1" si="7"/>
        <v>18.942465753424656</v>
      </c>
      <c r="R223" t="s">
        <v>27</v>
      </c>
      <c r="S223" t="s">
        <v>63</v>
      </c>
      <c r="T223">
        <v>14</v>
      </c>
      <c r="U223" t="s">
        <v>45</v>
      </c>
      <c r="V223">
        <v>0</v>
      </c>
      <c r="W223">
        <v>0</v>
      </c>
      <c r="X223">
        <v>15</v>
      </c>
    </row>
    <row r="224" spans="1:24" x14ac:dyDescent="0.3">
      <c r="A224" t="s">
        <v>334</v>
      </c>
      <c r="B224">
        <v>10124</v>
      </c>
      <c r="C224" t="s">
        <v>435</v>
      </c>
      <c r="D224">
        <v>1</v>
      </c>
      <c r="E224">
        <v>6</v>
      </c>
      <c r="F224">
        <v>3</v>
      </c>
      <c r="G224">
        <v>61844</v>
      </c>
      <c r="H224">
        <v>3</v>
      </c>
      <c r="I224" t="s">
        <v>101</v>
      </c>
      <c r="J224" t="s">
        <v>335</v>
      </c>
      <c r="K224">
        <v>40220</v>
      </c>
      <c r="L224" s="3">
        <v>32394</v>
      </c>
      <c r="M224" s="5">
        <f t="shared" ca="1" si="6"/>
        <v>37</v>
      </c>
      <c r="N224" t="s">
        <v>38</v>
      </c>
      <c r="O224" t="s">
        <v>32</v>
      </c>
      <c r="P224" s="3">
        <v>41153</v>
      </c>
      <c r="Q224" s="7">
        <f t="shared" ca="1" si="7"/>
        <v>13.627397260273973</v>
      </c>
      <c r="R224" t="s">
        <v>103</v>
      </c>
      <c r="S224" t="s">
        <v>122</v>
      </c>
      <c r="T224">
        <v>21</v>
      </c>
      <c r="U224" t="s">
        <v>159</v>
      </c>
      <c r="V224">
        <v>0</v>
      </c>
      <c r="W224">
        <v>0</v>
      </c>
      <c r="X224">
        <v>9</v>
      </c>
    </row>
    <row r="225" spans="1:24" x14ac:dyDescent="0.3">
      <c r="A225" t="s">
        <v>336</v>
      </c>
      <c r="B225">
        <v>10187</v>
      </c>
      <c r="C225" t="s">
        <v>435</v>
      </c>
      <c r="D225">
        <v>5</v>
      </c>
      <c r="E225">
        <v>5</v>
      </c>
      <c r="F225">
        <v>3</v>
      </c>
      <c r="G225">
        <v>46799</v>
      </c>
      <c r="H225">
        <v>19</v>
      </c>
      <c r="I225" t="s">
        <v>23</v>
      </c>
      <c r="J225" t="s">
        <v>24</v>
      </c>
      <c r="K225">
        <v>1742</v>
      </c>
      <c r="L225" s="3">
        <v>30812</v>
      </c>
      <c r="M225" s="5">
        <f t="shared" ca="1" si="6"/>
        <v>41</v>
      </c>
      <c r="N225" t="s">
        <v>38</v>
      </c>
      <c r="O225" t="s">
        <v>43</v>
      </c>
      <c r="P225" s="3">
        <v>40679</v>
      </c>
      <c r="Q225" s="7">
        <f t="shared" ca="1" si="7"/>
        <v>14.926027397260274</v>
      </c>
      <c r="R225" t="s">
        <v>27</v>
      </c>
      <c r="S225" t="s">
        <v>39</v>
      </c>
      <c r="T225">
        <v>20</v>
      </c>
      <c r="U225" t="s">
        <v>45</v>
      </c>
      <c r="V225">
        <v>0</v>
      </c>
      <c r="W225">
        <v>0</v>
      </c>
      <c r="X225">
        <v>14</v>
      </c>
    </row>
    <row r="226" spans="1:24" x14ac:dyDescent="0.3">
      <c r="A226" t="s">
        <v>337</v>
      </c>
      <c r="B226">
        <v>10225</v>
      </c>
      <c r="C226" t="s">
        <v>436</v>
      </c>
      <c r="D226">
        <v>1</v>
      </c>
      <c r="E226">
        <v>5</v>
      </c>
      <c r="F226">
        <v>3</v>
      </c>
      <c r="G226">
        <v>59472</v>
      </c>
      <c r="H226">
        <v>19</v>
      </c>
      <c r="I226" t="s">
        <v>23</v>
      </c>
      <c r="J226" t="s">
        <v>24</v>
      </c>
      <c r="K226">
        <v>2109</v>
      </c>
      <c r="L226" s="3">
        <v>22591</v>
      </c>
      <c r="M226" s="5">
        <f t="shared" ca="1" si="6"/>
        <v>64</v>
      </c>
      <c r="N226" t="s">
        <v>25</v>
      </c>
      <c r="O226" t="s">
        <v>26</v>
      </c>
      <c r="P226" s="3">
        <v>41791</v>
      </c>
      <c r="Q226" s="7">
        <f t="shared" ca="1" si="7"/>
        <v>11.87945205479452</v>
      </c>
      <c r="R226" t="s">
        <v>27</v>
      </c>
      <c r="S226" t="s">
        <v>69</v>
      </c>
      <c r="T226">
        <v>18</v>
      </c>
      <c r="U226" t="s">
        <v>55</v>
      </c>
      <c r="V226">
        <v>0</v>
      </c>
      <c r="W226">
        <v>0</v>
      </c>
      <c r="X226">
        <v>14</v>
      </c>
    </row>
    <row r="227" spans="1:24" x14ac:dyDescent="0.3">
      <c r="A227" t="s">
        <v>338</v>
      </c>
      <c r="B227">
        <v>10262</v>
      </c>
      <c r="C227" t="s">
        <v>435</v>
      </c>
      <c r="D227">
        <v>5</v>
      </c>
      <c r="E227">
        <v>5</v>
      </c>
      <c r="F227">
        <v>3</v>
      </c>
      <c r="G227">
        <v>46430</v>
      </c>
      <c r="H227">
        <v>19</v>
      </c>
      <c r="I227" t="s">
        <v>23</v>
      </c>
      <c r="J227" t="s">
        <v>24</v>
      </c>
      <c r="K227">
        <v>2474</v>
      </c>
      <c r="L227" s="3">
        <v>25911</v>
      </c>
      <c r="M227" s="5">
        <f t="shared" ca="1" si="6"/>
        <v>55</v>
      </c>
      <c r="N227" t="s">
        <v>38</v>
      </c>
      <c r="O227" t="s">
        <v>43</v>
      </c>
      <c r="P227" s="3">
        <v>41176</v>
      </c>
      <c r="Q227" s="7">
        <f t="shared" ca="1" si="7"/>
        <v>13.564383561643835</v>
      </c>
      <c r="R227" t="s">
        <v>27</v>
      </c>
      <c r="S227" t="s">
        <v>39</v>
      </c>
      <c r="T227">
        <v>20</v>
      </c>
      <c r="U227" t="s">
        <v>35</v>
      </c>
      <c r="V227">
        <v>0</v>
      </c>
      <c r="W227">
        <v>0</v>
      </c>
      <c r="X227">
        <v>16</v>
      </c>
    </row>
    <row r="228" spans="1:24" x14ac:dyDescent="0.3">
      <c r="A228" t="s">
        <v>339</v>
      </c>
      <c r="B228">
        <v>10131</v>
      </c>
      <c r="C228" t="s">
        <v>436</v>
      </c>
      <c r="D228">
        <v>5</v>
      </c>
      <c r="E228">
        <v>1</v>
      </c>
      <c r="F228">
        <v>3</v>
      </c>
      <c r="G228">
        <v>83363</v>
      </c>
      <c r="H228">
        <v>23</v>
      </c>
      <c r="I228" t="s">
        <v>49</v>
      </c>
      <c r="J228" t="s">
        <v>24</v>
      </c>
      <c r="K228">
        <v>2045</v>
      </c>
      <c r="L228" s="3">
        <v>30844</v>
      </c>
      <c r="M228" s="5">
        <f t="shared" ca="1" si="6"/>
        <v>41</v>
      </c>
      <c r="N228" t="s">
        <v>25</v>
      </c>
      <c r="O228" t="s">
        <v>32</v>
      </c>
      <c r="P228" s="3">
        <v>40595</v>
      </c>
      <c r="Q228" s="7">
        <f t="shared" ca="1" si="7"/>
        <v>15.156164383561643</v>
      </c>
      <c r="R228" t="s">
        <v>50</v>
      </c>
      <c r="S228" t="s">
        <v>93</v>
      </c>
      <c r="T228">
        <v>2</v>
      </c>
      <c r="U228" t="s">
        <v>58</v>
      </c>
      <c r="V228">
        <v>0</v>
      </c>
      <c r="W228">
        <v>0</v>
      </c>
      <c r="X228">
        <v>4</v>
      </c>
    </row>
    <row r="229" spans="1:24" x14ac:dyDescent="0.3">
      <c r="A229" t="s">
        <v>340</v>
      </c>
      <c r="B229">
        <v>10239</v>
      </c>
      <c r="C229" t="s">
        <v>435</v>
      </c>
      <c r="D229">
        <v>1</v>
      </c>
      <c r="E229">
        <v>3</v>
      </c>
      <c r="F229">
        <v>3</v>
      </c>
      <c r="G229">
        <v>95920</v>
      </c>
      <c r="H229">
        <v>4</v>
      </c>
      <c r="I229" t="s">
        <v>154</v>
      </c>
      <c r="J229" t="s">
        <v>24</v>
      </c>
      <c r="K229">
        <v>2110</v>
      </c>
      <c r="L229" s="3">
        <v>29560</v>
      </c>
      <c r="M229" s="5">
        <f t="shared" ca="1" si="6"/>
        <v>45</v>
      </c>
      <c r="N229" t="s">
        <v>38</v>
      </c>
      <c r="O229" t="s">
        <v>32</v>
      </c>
      <c r="P229" s="3">
        <v>42410</v>
      </c>
      <c r="Q229" s="7">
        <f t="shared" ca="1" si="7"/>
        <v>10.183561643835617</v>
      </c>
      <c r="R229" t="s">
        <v>33</v>
      </c>
      <c r="S229" t="s">
        <v>155</v>
      </c>
      <c r="T229">
        <v>13</v>
      </c>
      <c r="U229" t="s">
        <v>35</v>
      </c>
      <c r="V229">
        <v>6</v>
      </c>
      <c r="W229">
        <v>0</v>
      </c>
      <c r="X229">
        <v>10</v>
      </c>
    </row>
    <row r="230" spans="1:24" x14ac:dyDescent="0.3">
      <c r="A230" t="s">
        <v>341</v>
      </c>
      <c r="B230">
        <v>10152</v>
      </c>
      <c r="C230" t="s">
        <v>436</v>
      </c>
      <c r="D230">
        <v>5</v>
      </c>
      <c r="E230">
        <v>5</v>
      </c>
      <c r="F230">
        <v>3</v>
      </c>
      <c r="G230">
        <v>61729</v>
      </c>
      <c r="H230">
        <v>19</v>
      </c>
      <c r="I230" t="s">
        <v>23</v>
      </c>
      <c r="J230" t="s">
        <v>24</v>
      </c>
      <c r="K230">
        <v>2478</v>
      </c>
      <c r="L230" s="3">
        <v>30998</v>
      </c>
      <c r="M230" s="5">
        <f t="shared" ca="1" si="6"/>
        <v>41</v>
      </c>
      <c r="N230" t="s">
        <v>25</v>
      </c>
      <c r="O230" t="s">
        <v>43</v>
      </c>
      <c r="P230" s="3">
        <v>40812</v>
      </c>
      <c r="Q230" s="7">
        <f t="shared" ca="1" si="7"/>
        <v>14.561643835616438</v>
      </c>
      <c r="R230" t="s">
        <v>27</v>
      </c>
      <c r="S230" t="s">
        <v>28</v>
      </c>
      <c r="T230">
        <v>22</v>
      </c>
      <c r="U230" t="s">
        <v>35</v>
      </c>
      <c r="V230">
        <v>0</v>
      </c>
      <c r="W230">
        <v>0</v>
      </c>
      <c r="X230">
        <v>19</v>
      </c>
    </row>
    <row r="231" spans="1:24" x14ac:dyDescent="0.3">
      <c r="A231" t="s">
        <v>342</v>
      </c>
      <c r="B231">
        <v>10140</v>
      </c>
      <c r="C231" t="s">
        <v>436</v>
      </c>
      <c r="D231">
        <v>1</v>
      </c>
      <c r="E231">
        <v>6</v>
      </c>
      <c r="F231">
        <v>3</v>
      </c>
      <c r="G231">
        <v>61809</v>
      </c>
      <c r="H231">
        <v>3</v>
      </c>
      <c r="I231" t="s">
        <v>101</v>
      </c>
      <c r="J231" t="s">
        <v>343</v>
      </c>
      <c r="K231">
        <v>83706</v>
      </c>
      <c r="L231" s="3">
        <v>20068</v>
      </c>
      <c r="M231" s="5">
        <f t="shared" ca="1" si="6"/>
        <v>71</v>
      </c>
      <c r="N231" t="s">
        <v>25</v>
      </c>
      <c r="O231" t="s">
        <v>32</v>
      </c>
      <c r="P231" s="3">
        <v>41978</v>
      </c>
      <c r="Q231" s="7">
        <f t="shared" ca="1" si="7"/>
        <v>11.367123287671232</v>
      </c>
      <c r="R231" t="s">
        <v>103</v>
      </c>
      <c r="S231" t="s">
        <v>104</v>
      </c>
      <c r="T231">
        <v>17</v>
      </c>
      <c r="U231" t="s">
        <v>82</v>
      </c>
      <c r="V231">
        <v>0</v>
      </c>
      <c r="W231">
        <v>0</v>
      </c>
      <c r="X231">
        <v>4</v>
      </c>
    </row>
    <row r="232" spans="1:24" x14ac:dyDescent="0.3">
      <c r="A232" t="s">
        <v>344</v>
      </c>
      <c r="B232">
        <v>10058</v>
      </c>
      <c r="C232" t="s">
        <v>436</v>
      </c>
      <c r="D232">
        <v>5</v>
      </c>
      <c r="E232">
        <v>5</v>
      </c>
      <c r="F232">
        <v>3</v>
      </c>
      <c r="G232">
        <v>45115</v>
      </c>
      <c r="H232">
        <v>19</v>
      </c>
      <c r="I232" t="s">
        <v>23</v>
      </c>
      <c r="J232" t="s">
        <v>24</v>
      </c>
      <c r="K232">
        <v>2176</v>
      </c>
      <c r="L232" s="3">
        <v>30292</v>
      </c>
      <c r="M232" s="5">
        <f t="shared" ca="1" si="6"/>
        <v>43</v>
      </c>
      <c r="N232" t="s">
        <v>25</v>
      </c>
      <c r="O232" t="s">
        <v>43</v>
      </c>
      <c r="P232" s="3">
        <v>40679</v>
      </c>
      <c r="Q232" s="7">
        <f t="shared" ca="1" si="7"/>
        <v>14.926027397260274</v>
      </c>
      <c r="R232" t="s">
        <v>27</v>
      </c>
      <c r="S232" t="s">
        <v>41</v>
      </c>
      <c r="T232">
        <v>16</v>
      </c>
      <c r="U232" t="s">
        <v>29</v>
      </c>
      <c r="V232">
        <v>0</v>
      </c>
      <c r="W232">
        <v>0</v>
      </c>
      <c r="X232">
        <v>11</v>
      </c>
    </row>
    <row r="233" spans="1:24" x14ac:dyDescent="0.3">
      <c r="A233" t="s">
        <v>345</v>
      </c>
      <c r="B233">
        <v>10011</v>
      </c>
      <c r="C233" t="s">
        <v>435</v>
      </c>
      <c r="D233">
        <v>1</v>
      </c>
      <c r="E233">
        <v>5</v>
      </c>
      <c r="F233">
        <v>4</v>
      </c>
      <c r="G233">
        <v>46738</v>
      </c>
      <c r="H233">
        <v>19</v>
      </c>
      <c r="I233" t="s">
        <v>23</v>
      </c>
      <c r="J233" t="s">
        <v>24</v>
      </c>
      <c r="K233">
        <v>2171</v>
      </c>
      <c r="L233" s="3">
        <v>26999</v>
      </c>
      <c r="M233" s="5">
        <f t="shared" ca="1" si="6"/>
        <v>52</v>
      </c>
      <c r="N233" t="s">
        <v>38</v>
      </c>
      <c r="O233" t="s">
        <v>32</v>
      </c>
      <c r="P233" s="3">
        <v>40875</v>
      </c>
      <c r="Q233" s="7">
        <f t="shared" ca="1" si="7"/>
        <v>14.389041095890411</v>
      </c>
      <c r="R233" t="s">
        <v>27</v>
      </c>
      <c r="S233" t="s">
        <v>44</v>
      </c>
      <c r="U233" t="s">
        <v>45</v>
      </c>
      <c r="V233">
        <v>0</v>
      </c>
      <c r="W233">
        <v>0</v>
      </c>
      <c r="X233">
        <v>16</v>
      </c>
    </row>
    <row r="234" spans="1:24" x14ac:dyDescent="0.3">
      <c r="A234" t="s">
        <v>346</v>
      </c>
      <c r="B234">
        <v>10230</v>
      </c>
      <c r="C234" t="s">
        <v>435</v>
      </c>
      <c r="D234">
        <v>5</v>
      </c>
      <c r="E234">
        <v>5</v>
      </c>
      <c r="F234">
        <v>3</v>
      </c>
      <c r="G234">
        <v>64971</v>
      </c>
      <c r="H234">
        <v>20</v>
      </c>
      <c r="I234" t="s">
        <v>37</v>
      </c>
      <c r="J234" t="s">
        <v>24</v>
      </c>
      <c r="K234">
        <v>1902</v>
      </c>
      <c r="L234" s="3">
        <v>29715</v>
      </c>
      <c r="M234" s="5">
        <f t="shared" ca="1" si="6"/>
        <v>44</v>
      </c>
      <c r="N234" t="s">
        <v>38</v>
      </c>
      <c r="O234" t="s">
        <v>43</v>
      </c>
      <c r="P234" s="3">
        <v>40812</v>
      </c>
      <c r="Q234" s="7">
        <f t="shared" ca="1" si="7"/>
        <v>14.561643835616438</v>
      </c>
      <c r="R234" t="s">
        <v>27</v>
      </c>
      <c r="S234" t="s">
        <v>63</v>
      </c>
      <c r="T234">
        <v>14</v>
      </c>
      <c r="U234" t="s">
        <v>45</v>
      </c>
      <c r="V234">
        <v>0</v>
      </c>
      <c r="W234">
        <v>0</v>
      </c>
      <c r="X234">
        <v>10</v>
      </c>
    </row>
    <row r="235" spans="1:24" x14ac:dyDescent="0.3">
      <c r="A235" t="s">
        <v>347</v>
      </c>
      <c r="B235">
        <v>10224</v>
      </c>
      <c r="C235" t="s">
        <v>436</v>
      </c>
      <c r="D235">
        <v>5</v>
      </c>
      <c r="E235">
        <v>5</v>
      </c>
      <c r="F235">
        <v>3</v>
      </c>
      <c r="G235">
        <v>55578</v>
      </c>
      <c r="H235">
        <v>20</v>
      </c>
      <c r="I235" t="s">
        <v>37</v>
      </c>
      <c r="J235" t="s">
        <v>24</v>
      </c>
      <c r="K235">
        <v>2138</v>
      </c>
      <c r="L235" s="3">
        <v>26365</v>
      </c>
      <c r="M235" s="5">
        <f t="shared" ca="1" si="6"/>
        <v>54</v>
      </c>
      <c r="N235" t="s">
        <v>25</v>
      </c>
      <c r="O235" t="s">
        <v>32</v>
      </c>
      <c r="P235" s="3">
        <v>40670</v>
      </c>
      <c r="Q235" s="7">
        <f t="shared" ca="1" si="7"/>
        <v>14.950684931506849</v>
      </c>
      <c r="R235" t="s">
        <v>27</v>
      </c>
      <c r="S235" t="s">
        <v>39</v>
      </c>
      <c r="T235">
        <v>20</v>
      </c>
      <c r="U235" t="s">
        <v>35</v>
      </c>
      <c r="V235">
        <v>0</v>
      </c>
      <c r="W235">
        <v>0</v>
      </c>
      <c r="X235">
        <v>13</v>
      </c>
    </row>
    <row r="236" spans="1:24" x14ac:dyDescent="0.3">
      <c r="A236" t="s">
        <v>348</v>
      </c>
      <c r="B236">
        <v>10047</v>
      </c>
      <c r="C236" t="s">
        <v>436</v>
      </c>
      <c r="D236">
        <v>5</v>
      </c>
      <c r="E236">
        <v>5</v>
      </c>
      <c r="F236">
        <v>3</v>
      </c>
      <c r="G236">
        <v>50428</v>
      </c>
      <c r="H236">
        <v>19</v>
      </c>
      <c r="I236" t="s">
        <v>23</v>
      </c>
      <c r="J236" t="s">
        <v>24</v>
      </c>
      <c r="K236">
        <v>1420</v>
      </c>
      <c r="L236" s="3">
        <v>27211</v>
      </c>
      <c r="M236" s="5">
        <f t="shared" ca="1" si="6"/>
        <v>51</v>
      </c>
      <c r="N236" t="s">
        <v>25</v>
      </c>
      <c r="O236" t="s">
        <v>32</v>
      </c>
      <c r="P236" s="3">
        <v>40817</v>
      </c>
      <c r="Q236" s="7">
        <f t="shared" ca="1" si="7"/>
        <v>14.547945205479452</v>
      </c>
      <c r="R236" t="s">
        <v>27</v>
      </c>
      <c r="S236" t="s">
        <v>47</v>
      </c>
      <c r="T236">
        <v>11</v>
      </c>
      <c r="U236" t="s">
        <v>35</v>
      </c>
      <c r="V236">
        <v>0</v>
      </c>
      <c r="W236">
        <v>0</v>
      </c>
      <c r="X236">
        <v>11</v>
      </c>
    </row>
    <row r="237" spans="1:24" x14ac:dyDescent="0.3">
      <c r="A237" t="s">
        <v>349</v>
      </c>
      <c r="B237">
        <v>10285</v>
      </c>
      <c r="C237" t="s">
        <v>435</v>
      </c>
      <c r="D237">
        <v>4</v>
      </c>
      <c r="E237">
        <v>5</v>
      </c>
      <c r="F237">
        <v>2</v>
      </c>
      <c r="G237">
        <v>61422</v>
      </c>
      <c r="H237">
        <v>19</v>
      </c>
      <c r="I237" t="s">
        <v>23</v>
      </c>
      <c r="J237" t="s">
        <v>24</v>
      </c>
      <c r="K237">
        <v>1460</v>
      </c>
      <c r="L237" s="3">
        <v>31229</v>
      </c>
      <c r="M237" s="5">
        <f t="shared" ca="1" si="6"/>
        <v>40</v>
      </c>
      <c r="N237" t="s">
        <v>38</v>
      </c>
      <c r="O237" t="s">
        <v>32</v>
      </c>
      <c r="P237" s="3">
        <v>40817</v>
      </c>
      <c r="Q237" s="7">
        <f t="shared" ca="1" si="7"/>
        <v>14.547945205479452</v>
      </c>
      <c r="R237" t="s">
        <v>27</v>
      </c>
      <c r="S237" t="s">
        <v>54</v>
      </c>
      <c r="T237">
        <v>19</v>
      </c>
      <c r="U237" t="s">
        <v>35</v>
      </c>
      <c r="V237">
        <v>0</v>
      </c>
      <c r="W237">
        <v>4</v>
      </c>
      <c r="X237">
        <v>16</v>
      </c>
    </row>
    <row r="238" spans="1:24" x14ac:dyDescent="0.3">
      <c r="A238" t="s">
        <v>350</v>
      </c>
      <c r="B238">
        <v>10020</v>
      </c>
      <c r="C238" t="s">
        <v>436</v>
      </c>
      <c r="D238">
        <v>1</v>
      </c>
      <c r="E238">
        <v>5</v>
      </c>
      <c r="F238">
        <v>4</v>
      </c>
      <c r="G238">
        <v>63353</v>
      </c>
      <c r="H238">
        <v>19</v>
      </c>
      <c r="I238" t="s">
        <v>23</v>
      </c>
      <c r="J238" t="s">
        <v>24</v>
      </c>
      <c r="K238">
        <v>1730</v>
      </c>
      <c r="L238" s="3">
        <v>31260</v>
      </c>
      <c r="M238" s="5">
        <f t="shared" ca="1" si="6"/>
        <v>40</v>
      </c>
      <c r="N238" t="s">
        <v>25</v>
      </c>
      <c r="O238" t="s">
        <v>53</v>
      </c>
      <c r="P238" s="3">
        <v>41493</v>
      </c>
      <c r="Q238" s="7">
        <f t="shared" ca="1" si="7"/>
        <v>12.695890410958905</v>
      </c>
      <c r="R238" t="s">
        <v>27</v>
      </c>
      <c r="S238" t="s">
        <v>57</v>
      </c>
      <c r="T238">
        <v>12</v>
      </c>
      <c r="U238" t="s">
        <v>55</v>
      </c>
      <c r="V238">
        <v>0</v>
      </c>
      <c r="W238">
        <v>0</v>
      </c>
      <c r="X238">
        <v>4</v>
      </c>
    </row>
    <row r="239" spans="1:24" x14ac:dyDescent="0.3">
      <c r="A239" t="s">
        <v>351</v>
      </c>
      <c r="B239">
        <v>10162</v>
      </c>
      <c r="C239" t="s">
        <v>435</v>
      </c>
      <c r="D239">
        <v>1</v>
      </c>
      <c r="E239">
        <v>3</v>
      </c>
      <c r="F239">
        <v>3</v>
      </c>
      <c r="G239">
        <v>89883</v>
      </c>
      <c r="H239">
        <v>9</v>
      </c>
      <c r="I239" t="s">
        <v>66</v>
      </c>
      <c r="J239" t="s">
        <v>24</v>
      </c>
      <c r="K239">
        <v>1886</v>
      </c>
      <c r="L239" s="3">
        <v>29900</v>
      </c>
      <c r="M239" s="5">
        <f t="shared" ca="1" si="6"/>
        <v>44</v>
      </c>
      <c r="N239" t="s">
        <v>38</v>
      </c>
      <c r="O239" t="s">
        <v>32</v>
      </c>
      <c r="P239" s="3">
        <v>42051</v>
      </c>
      <c r="Q239" s="7">
        <f t="shared" ca="1" si="7"/>
        <v>11.167123287671233</v>
      </c>
      <c r="R239" t="s">
        <v>33</v>
      </c>
      <c r="S239" t="s">
        <v>34</v>
      </c>
      <c r="T239">
        <v>4</v>
      </c>
      <c r="U239" t="s">
        <v>55</v>
      </c>
      <c r="V239">
        <v>6</v>
      </c>
      <c r="W239">
        <v>0</v>
      </c>
      <c r="X239">
        <v>15</v>
      </c>
    </row>
    <row r="240" spans="1:24" x14ac:dyDescent="0.3">
      <c r="A240" t="s">
        <v>352</v>
      </c>
      <c r="B240">
        <v>10149</v>
      </c>
      <c r="C240" t="s">
        <v>435</v>
      </c>
      <c r="D240">
        <v>5</v>
      </c>
      <c r="E240">
        <v>3</v>
      </c>
      <c r="F240">
        <v>3</v>
      </c>
      <c r="G240">
        <v>120000</v>
      </c>
      <c r="H240">
        <v>29</v>
      </c>
      <c r="I240" t="s">
        <v>353</v>
      </c>
      <c r="J240" t="s">
        <v>24</v>
      </c>
      <c r="K240">
        <v>2703</v>
      </c>
      <c r="L240" s="3">
        <v>26850</v>
      </c>
      <c r="M240" s="5">
        <f t="shared" ca="1" si="6"/>
        <v>52</v>
      </c>
      <c r="N240" t="s">
        <v>38</v>
      </c>
      <c r="O240" t="s">
        <v>26</v>
      </c>
      <c r="P240" s="3">
        <v>42125</v>
      </c>
      <c r="Q240" s="7">
        <f t="shared" ca="1" si="7"/>
        <v>10.964383561643835</v>
      </c>
      <c r="R240" t="s">
        <v>33</v>
      </c>
      <c r="S240" t="s">
        <v>34</v>
      </c>
      <c r="T240">
        <v>4</v>
      </c>
      <c r="U240" t="s">
        <v>29</v>
      </c>
      <c r="V240">
        <v>7</v>
      </c>
      <c r="W240">
        <v>0</v>
      </c>
      <c r="X240">
        <v>12</v>
      </c>
    </row>
    <row r="241" spans="1:24" x14ac:dyDescent="0.3">
      <c r="A241" t="s">
        <v>354</v>
      </c>
      <c r="B241">
        <v>10086</v>
      </c>
      <c r="C241" t="s">
        <v>435</v>
      </c>
      <c r="D241">
        <v>1</v>
      </c>
      <c r="E241">
        <v>3</v>
      </c>
      <c r="F241">
        <v>3</v>
      </c>
      <c r="G241">
        <v>150290</v>
      </c>
      <c r="H241">
        <v>7</v>
      </c>
      <c r="I241" t="s">
        <v>355</v>
      </c>
      <c r="J241" t="s">
        <v>24</v>
      </c>
      <c r="K241">
        <v>2056</v>
      </c>
      <c r="L241" s="3">
        <v>26309</v>
      </c>
      <c r="M241" s="5">
        <f t="shared" ca="1" si="6"/>
        <v>54</v>
      </c>
      <c r="N241" t="s">
        <v>38</v>
      </c>
      <c r="O241" t="s">
        <v>26</v>
      </c>
      <c r="P241" s="3">
        <v>42917</v>
      </c>
      <c r="Q241" s="7">
        <f t="shared" ca="1" si="7"/>
        <v>8.794520547945206</v>
      </c>
      <c r="R241" t="s">
        <v>33</v>
      </c>
      <c r="S241" t="s">
        <v>155</v>
      </c>
      <c r="T241">
        <v>13</v>
      </c>
      <c r="U241" t="s">
        <v>35</v>
      </c>
      <c r="V241">
        <v>5</v>
      </c>
      <c r="W241">
        <v>0</v>
      </c>
      <c r="X241">
        <v>17</v>
      </c>
    </row>
    <row r="242" spans="1:24" x14ac:dyDescent="0.3">
      <c r="A242" t="s">
        <v>356</v>
      </c>
      <c r="B242">
        <v>10054</v>
      </c>
      <c r="C242" t="s">
        <v>435</v>
      </c>
      <c r="D242">
        <v>1</v>
      </c>
      <c r="E242">
        <v>5</v>
      </c>
      <c r="F242">
        <v>3</v>
      </c>
      <c r="G242">
        <v>60627</v>
      </c>
      <c r="H242">
        <v>19</v>
      </c>
      <c r="I242" t="s">
        <v>23</v>
      </c>
      <c r="J242" t="s">
        <v>24</v>
      </c>
      <c r="K242">
        <v>1886</v>
      </c>
      <c r="L242" s="3">
        <v>27161</v>
      </c>
      <c r="M242" s="5">
        <f t="shared" ca="1" si="6"/>
        <v>51</v>
      </c>
      <c r="N242" t="s">
        <v>38</v>
      </c>
      <c r="O242" t="s">
        <v>99</v>
      </c>
      <c r="P242" s="3">
        <v>41791</v>
      </c>
      <c r="Q242" s="7">
        <f t="shared" ca="1" si="7"/>
        <v>11.87945205479452</v>
      </c>
      <c r="R242" t="s">
        <v>27</v>
      </c>
      <c r="S242" t="s">
        <v>63</v>
      </c>
      <c r="T242">
        <v>14</v>
      </c>
      <c r="U242" t="s">
        <v>159</v>
      </c>
      <c r="V242">
        <v>0</v>
      </c>
      <c r="W242">
        <v>0</v>
      </c>
      <c r="X242">
        <v>8</v>
      </c>
    </row>
    <row r="243" spans="1:24" x14ac:dyDescent="0.3">
      <c r="A243" t="s">
        <v>357</v>
      </c>
      <c r="B243">
        <v>10065</v>
      </c>
      <c r="C243" t="s">
        <v>436</v>
      </c>
      <c r="D243">
        <v>5</v>
      </c>
      <c r="E243">
        <v>5</v>
      </c>
      <c r="F243">
        <v>3</v>
      </c>
      <c r="G243">
        <v>53180</v>
      </c>
      <c r="H243">
        <v>19</v>
      </c>
      <c r="I243" t="s">
        <v>23</v>
      </c>
      <c r="J243" t="s">
        <v>24</v>
      </c>
      <c r="K243">
        <v>2155</v>
      </c>
      <c r="L243" s="3">
        <v>31992</v>
      </c>
      <c r="M243" s="5">
        <f t="shared" ca="1" si="6"/>
        <v>38</v>
      </c>
      <c r="N243" t="s">
        <v>25</v>
      </c>
      <c r="O243" t="s">
        <v>26</v>
      </c>
      <c r="P243" s="3">
        <v>40637</v>
      </c>
      <c r="Q243" s="7">
        <f t="shared" ca="1" si="7"/>
        <v>15.04109589041096</v>
      </c>
      <c r="R243" t="s">
        <v>27</v>
      </c>
      <c r="S243" t="s">
        <v>39</v>
      </c>
      <c r="T243">
        <v>20</v>
      </c>
      <c r="U243" t="s">
        <v>45</v>
      </c>
      <c r="V243">
        <v>0</v>
      </c>
      <c r="W243">
        <v>0</v>
      </c>
      <c r="X243">
        <v>4</v>
      </c>
    </row>
    <row r="244" spans="1:24" x14ac:dyDescent="0.3">
      <c r="A244" t="s">
        <v>358</v>
      </c>
      <c r="B244">
        <v>10198</v>
      </c>
      <c r="C244" t="s">
        <v>436</v>
      </c>
      <c r="D244">
        <v>1</v>
      </c>
      <c r="E244">
        <v>3</v>
      </c>
      <c r="F244">
        <v>3</v>
      </c>
      <c r="G244">
        <v>140920</v>
      </c>
      <c r="H244">
        <v>13</v>
      </c>
      <c r="I244" t="s">
        <v>359</v>
      </c>
      <c r="J244" t="s">
        <v>24</v>
      </c>
      <c r="K244">
        <v>2481</v>
      </c>
      <c r="L244" s="3">
        <v>26788</v>
      </c>
      <c r="M244" s="5">
        <f t="shared" ca="1" si="6"/>
        <v>52</v>
      </c>
      <c r="N244" t="s">
        <v>25</v>
      </c>
      <c r="O244" t="s">
        <v>26</v>
      </c>
      <c r="P244" s="3">
        <v>41294</v>
      </c>
      <c r="Q244" s="7">
        <f t="shared" ca="1" si="7"/>
        <v>13.241095890410959</v>
      </c>
      <c r="R244" t="s">
        <v>33</v>
      </c>
      <c r="S244" t="s">
        <v>109</v>
      </c>
      <c r="T244">
        <v>5</v>
      </c>
      <c r="U244" t="s">
        <v>35</v>
      </c>
      <c r="V244">
        <v>7</v>
      </c>
      <c r="W244">
        <v>0</v>
      </c>
      <c r="X244">
        <v>13</v>
      </c>
    </row>
    <row r="245" spans="1:24" x14ac:dyDescent="0.3">
      <c r="A245" t="s">
        <v>360</v>
      </c>
      <c r="B245">
        <v>10222</v>
      </c>
      <c r="C245" t="s">
        <v>436</v>
      </c>
      <c r="D245">
        <v>5</v>
      </c>
      <c r="E245">
        <v>3</v>
      </c>
      <c r="F245">
        <v>3</v>
      </c>
      <c r="G245">
        <v>148999</v>
      </c>
      <c r="H245">
        <v>13</v>
      </c>
      <c r="I245" t="s">
        <v>359</v>
      </c>
      <c r="J245" t="s">
        <v>24</v>
      </c>
      <c r="K245">
        <v>1915</v>
      </c>
      <c r="L245" s="3">
        <v>23468</v>
      </c>
      <c r="M245" s="5">
        <f t="shared" ca="1" si="6"/>
        <v>62</v>
      </c>
      <c r="N245" t="s">
        <v>25</v>
      </c>
      <c r="O245" t="s">
        <v>43</v>
      </c>
      <c r="P245" s="3">
        <v>41153</v>
      </c>
      <c r="Q245" s="7">
        <f t="shared" ca="1" si="7"/>
        <v>13.627397260273973</v>
      </c>
      <c r="R245" t="s">
        <v>33</v>
      </c>
      <c r="S245" t="s">
        <v>109</v>
      </c>
      <c r="T245">
        <v>5</v>
      </c>
      <c r="U245" t="s">
        <v>58</v>
      </c>
      <c r="V245">
        <v>6</v>
      </c>
      <c r="W245">
        <v>0</v>
      </c>
      <c r="X245">
        <v>8</v>
      </c>
    </row>
    <row r="246" spans="1:24" x14ac:dyDescent="0.3">
      <c r="A246" t="s">
        <v>361</v>
      </c>
      <c r="B246">
        <v>10126</v>
      </c>
      <c r="C246" t="s">
        <v>435</v>
      </c>
      <c r="D246">
        <v>1</v>
      </c>
      <c r="E246">
        <v>4</v>
      </c>
      <c r="F246">
        <v>3</v>
      </c>
      <c r="G246">
        <v>86214</v>
      </c>
      <c r="H246">
        <v>24</v>
      </c>
      <c r="I246" t="s">
        <v>49</v>
      </c>
      <c r="J246" t="s">
        <v>24</v>
      </c>
      <c r="K246">
        <v>2132</v>
      </c>
      <c r="L246" s="3">
        <v>31509</v>
      </c>
      <c r="M246" s="5">
        <f t="shared" ca="1" si="6"/>
        <v>40</v>
      </c>
      <c r="N246" t="s">
        <v>38</v>
      </c>
      <c r="O246" t="s">
        <v>32</v>
      </c>
      <c r="P246" s="3">
        <v>41040</v>
      </c>
      <c r="Q246" s="7">
        <f t="shared" ca="1" si="7"/>
        <v>13.936986301369863</v>
      </c>
      <c r="R246" t="s">
        <v>50</v>
      </c>
      <c r="S246" t="s">
        <v>51</v>
      </c>
      <c r="T246">
        <v>10</v>
      </c>
      <c r="U246" t="s">
        <v>35</v>
      </c>
      <c r="V246">
        <v>6</v>
      </c>
      <c r="W246">
        <v>0</v>
      </c>
      <c r="X246">
        <v>2</v>
      </c>
    </row>
    <row r="247" spans="1:24" x14ac:dyDescent="0.3">
      <c r="A247" t="s">
        <v>362</v>
      </c>
      <c r="B247">
        <v>10295</v>
      </c>
      <c r="C247" t="s">
        <v>435</v>
      </c>
      <c r="D247">
        <v>2</v>
      </c>
      <c r="E247">
        <v>5</v>
      </c>
      <c r="F247">
        <v>2</v>
      </c>
      <c r="G247">
        <v>47750</v>
      </c>
      <c r="H247">
        <v>19</v>
      </c>
      <c r="I247" t="s">
        <v>23</v>
      </c>
      <c r="J247" t="s">
        <v>24</v>
      </c>
      <c r="K247">
        <v>1801</v>
      </c>
      <c r="L247" s="3">
        <v>24995</v>
      </c>
      <c r="M247" s="5">
        <f t="shared" ca="1" si="6"/>
        <v>57</v>
      </c>
      <c r="N247" t="s">
        <v>38</v>
      </c>
      <c r="O247" t="s">
        <v>26</v>
      </c>
      <c r="P247" s="3">
        <v>42467</v>
      </c>
      <c r="Q247" s="7">
        <f t="shared" ca="1" si="7"/>
        <v>10.027397260273972</v>
      </c>
      <c r="R247" t="s">
        <v>27</v>
      </c>
      <c r="S247" t="s">
        <v>69</v>
      </c>
      <c r="T247">
        <v>18</v>
      </c>
      <c r="U247" t="s">
        <v>58</v>
      </c>
      <c r="V247">
        <v>0</v>
      </c>
      <c r="W247">
        <v>5</v>
      </c>
      <c r="X247">
        <v>4</v>
      </c>
    </row>
    <row r="248" spans="1:24" x14ac:dyDescent="0.3">
      <c r="A248" t="s">
        <v>363</v>
      </c>
      <c r="B248">
        <v>10260</v>
      </c>
      <c r="C248" t="s">
        <v>436</v>
      </c>
      <c r="D248">
        <v>5</v>
      </c>
      <c r="E248">
        <v>5</v>
      </c>
      <c r="F248">
        <v>3</v>
      </c>
      <c r="G248">
        <v>46428</v>
      </c>
      <c r="H248">
        <v>19</v>
      </c>
      <c r="I248" t="s">
        <v>23</v>
      </c>
      <c r="J248" t="s">
        <v>24</v>
      </c>
      <c r="K248">
        <v>2148</v>
      </c>
      <c r="L248" s="3">
        <v>27041</v>
      </c>
      <c r="M248" s="5">
        <f t="shared" ca="1" si="6"/>
        <v>52</v>
      </c>
      <c r="N248" t="s">
        <v>25</v>
      </c>
      <c r="O248" t="s">
        <v>26</v>
      </c>
      <c r="P248" s="3">
        <v>39934</v>
      </c>
      <c r="Q248" s="7">
        <f t="shared" ca="1" si="7"/>
        <v>16.967123287671232</v>
      </c>
      <c r="R248" t="s">
        <v>27</v>
      </c>
      <c r="S248" t="s">
        <v>28</v>
      </c>
      <c r="T248">
        <v>22</v>
      </c>
      <c r="U248" t="s">
        <v>45</v>
      </c>
      <c r="V248">
        <v>0</v>
      </c>
      <c r="W248">
        <v>0</v>
      </c>
      <c r="X248">
        <v>7</v>
      </c>
    </row>
    <row r="249" spans="1:24" x14ac:dyDescent="0.3">
      <c r="A249" t="s">
        <v>364</v>
      </c>
      <c r="B249">
        <v>10233</v>
      </c>
      <c r="C249" t="s">
        <v>436</v>
      </c>
      <c r="D249">
        <v>1</v>
      </c>
      <c r="E249">
        <v>5</v>
      </c>
      <c r="F249">
        <v>3</v>
      </c>
      <c r="G249">
        <v>57975</v>
      </c>
      <c r="H249">
        <v>20</v>
      </c>
      <c r="I249" t="s">
        <v>37</v>
      </c>
      <c r="J249" t="s">
        <v>24</v>
      </c>
      <c r="K249">
        <v>2062</v>
      </c>
      <c r="L249" s="3">
        <v>31567</v>
      </c>
      <c r="M249" s="5">
        <f t="shared" ca="1" si="6"/>
        <v>39</v>
      </c>
      <c r="N249" t="s">
        <v>25</v>
      </c>
      <c r="O249" t="s">
        <v>32</v>
      </c>
      <c r="P249" s="3">
        <v>40420</v>
      </c>
      <c r="Q249" s="7">
        <f t="shared" ca="1" si="7"/>
        <v>15.635616438356164</v>
      </c>
      <c r="R249" t="s">
        <v>27</v>
      </c>
      <c r="S249" t="s">
        <v>69</v>
      </c>
      <c r="T249">
        <v>18</v>
      </c>
      <c r="U249" t="s">
        <v>82</v>
      </c>
      <c r="V249">
        <v>0</v>
      </c>
      <c r="W249">
        <v>0</v>
      </c>
      <c r="X249">
        <v>13</v>
      </c>
    </row>
    <row r="250" spans="1:24" x14ac:dyDescent="0.3">
      <c r="A250" t="s">
        <v>365</v>
      </c>
      <c r="B250">
        <v>10229</v>
      </c>
      <c r="C250" t="s">
        <v>436</v>
      </c>
      <c r="D250">
        <v>5</v>
      </c>
      <c r="E250">
        <v>3</v>
      </c>
      <c r="F250">
        <v>3</v>
      </c>
      <c r="G250">
        <v>88527</v>
      </c>
      <c r="H250">
        <v>9</v>
      </c>
      <c r="I250" t="s">
        <v>366</v>
      </c>
      <c r="J250" t="s">
        <v>24</v>
      </c>
      <c r="K250">
        <v>2452</v>
      </c>
      <c r="L250" s="3">
        <v>31970</v>
      </c>
      <c r="M250" s="5">
        <f t="shared" ca="1" si="6"/>
        <v>38</v>
      </c>
      <c r="N250" t="s">
        <v>25</v>
      </c>
      <c r="O250" t="s">
        <v>43</v>
      </c>
      <c r="P250" s="3">
        <v>42125</v>
      </c>
      <c r="Q250" s="7">
        <f t="shared" ca="1" si="7"/>
        <v>10.964383561643835</v>
      </c>
      <c r="R250" t="s">
        <v>33</v>
      </c>
      <c r="S250" t="s">
        <v>34</v>
      </c>
      <c r="T250">
        <v>4</v>
      </c>
      <c r="U250" t="s">
        <v>29</v>
      </c>
      <c r="V250">
        <v>5</v>
      </c>
      <c r="W250">
        <v>0</v>
      </c>
      <c r="X250">
        <v>2</v>
      </c>
    </row>
    <row r="251" spans="1:24" x14ac:dyDescent="0.3">
      <c r="A251" t="s">
        <v>367</v>
      </c>
      <c r="B251">
        <v>10169</v>
      </c>
      <c r="C251" t="s">
        <v>435</v>
      </c>
      <c r="D251">
        <v>1</v>
      </c>
      <c r="E251">
        <v>5</v>
      </c>
      <c r="F251">
        <v>3</v>
      </c>
      <c r="G251">
        <v>56147</v>
      </c>
      <c r="H251">
        <v>19</v>
      </c>
      <c r="I251" t="s">
        <v>23</v>
      </c>
      <c r="J251" t="s">
        <v>24</v>
      </c>
      <c r="K251">
        <v>2154</v>
      </c>
      <c r="L251" s="3">
        <v>32423</v>
      </c>
      <c r="M251" s="5">
        <f t="shared" ca="1" si="6"/>
        <v>37</v>
      </c>
      <c r="N251" t="s">
        <v>38</v>
      </c>
      <c r="O251" t="s">
        <v>32</v>
      </c>
      <c r="P251" s="3">
        <v>41911</v>
      </c>
      <c r="Q251" s="7">
        <f t="shared" ca="1" si="7"/>
        <v>11.550684931506849</v>
      </c>
      <c r="R251" t="s">
        <v>27</v>
      </c>
      <c r="S251" t="s">
        <v>41</v>
      </c>
      <c r="T251">
        <v>16</v>
      </c>
      <c r="U251" t="s">
        <v>29</v>
      </c>
      <c r="V251">
        <v>0</v>
      </c>
      <c r="W251">
        <v>0</v>
      </c>
      <c r="X251">
        <v>2</v>
      </c>
    </row>
    <row r="252" spans="1:24" x14ac:dyDescent="0.3">
      <c r="A252" t="s">
        <v>368</v>
      </c>
      <c r="B252">
        <v>10071</v>
      </c>
      <c r="C252" t="s">
        <v>435</v>
      </c>
      <c r="D252">
        <v>3</v>
      </c>
      <c r="E252">
        <v>5</v>
      </c>
      <c r="F252">
        <v>3</v>
      </c>
      <c r="G252">
        <v>50923</v>
      </c>
      <c r="H252">
        <v>19</v>
      </c>
      <c r="I252" t="s">
        <v>23</v>
      </c>
      <c r="J252" t="s">
        <v>24</v>
      </c>
      <c r="K252">
        <v>2191</v>
      </c>
      <c r="L252" s="3">
        <v>27670</v>
      </c>
      <c r="M252" s="5">
        <f t="shared" ca="1" si="6"/>
        <v>50</v>
      </c>
      <c r="N252" t="s">
        <v>38</v>
      </c>
      <c r="O252" t="s">
        <v>26</v>
      </c>
      <c r="P252" s="3">
        <v>41547</v>
      </c>
      <c r="Q252" s="7">
        <f t="shared" ca="1" si="7"/>
        <v>12.547945205479452</v>
      </c>
      <c r="R252" t="s">
        <v>27</v>
      </c>
      <c r="S252" t="s">
        <v>44</v>
      </c>
      <c r="U252" t="s">
        <v>45</v>
      </c>
      <c r="V252">
        <v>0</v>
      </c>
      <c r="W252">
        <v>0</v>
      </c>
      <c r="X252">
        <v>14</v>
      </c>
    </row>
    <row r="253" spans="1:24" x14ac:dyDescent="0.3">
      <c r="A253" t="s">
        <v>369</v>
      </c>
      <c r="B253">
        <v>10179</v>
      </c>
      <c r="C253" t="s">
        <v>435</v>
      </c>
      <c r="D253">
        <v>1</v>
      </c>
      <c r="E253">
        <v>3</v>
      </c>
      <c r="F253">
        <v>3</v>
      </c>
      <c r="G253">
        <v>50750</v>
      </c>
      <c r="H253">
        <v>15</v>
      </c>
      <c r="I253" t="s">
        <v>181</v>
      </c>
      <c r="J253" t="s">
        <v>24</v>
      </c>
      <c r="K253">
        <v>1773</v>
      </c>
      <c r="L253" s="3">
        <v>29680</v>
      </c>
      <c r="M253" s="5">
        <f t="shared" ca="1" si="6"/>
        <v>45</v>
      </c>
      <c r="N253" t="s">
        <v>38</v>
      </c>
      <c r="O253" t="s">
        <v>32</v>
      </c>
      <c r="P253" s="3">
        <v>41912</v>
      </c>
      <c r="Q253" s="7">
        <f t="shared" ca="1" si="7"/>
        <v>11.547945205479452</v>
      </c>
      <c r="R253" t="s">
        <v>33</v>
      </c>
      <c r="S253" t="s">
        <v>61</v>
      </c>
      <c r="T253">
        <v>7</v>
      </c>
      <c r="U253" t="s">
        <v>29</v>
      </c>
      <c r="V253">
        <v>6</v>
      </c>
      <c r="W253">
        <v>0</v>
      </c>
      <c r="X253">
        <v>7</v>
      </c>
    </row>
    <row r="254" spans="1:24" x14ac:dyDescent="0.3">
      <c r="A254" t="s">
        <v>370</v>
      </c>
      <c r="B254">
        <v>10091</v>
      </c>
      <c r="C254" t="s">
        <v>435</v>
      </c>
      <c r="D254">
        <v>1</v>
      </c>
      <c r="E254">
        <v>5</v>
      </c>
      <c r="F254">
        <v>3</v>
      </c>
      <c r="G254">
        <v>52087</v>
      </c>
      <c r="H254">
        <v>19</v>
      </c>
      <c r="I254" t="s">
        <v>23</v>
      </c>
      <c r="J254" t="s">
        <v>24</v>
      </c>
      <c r="K254">
        <v>2149</v>
      </c>
      <c r="L254" s="3">
        <v>31145</v>
      </c>
      <c r="M254" s="5">
        <f t="shared" ca="1" si="6"/>
        <v>41</v>
      </c>
      <c r="N254" t="s">
        <v>38</v>
      </c>
      <c r="O254" t="s">
        <v>32</v>
      </c>
      <c r="P254" s="3">
        <v>41505</v>
      </c>
      <c r="Q254" s="7">
        <f t="shared" ca="1" si="7"/>
        <v>12.663013698630136</v>
      </c>
      <c r="R254" t="s">
        <v>27</v>
      </c>
      <c r="S254" t="s">
        <v>47</v>
      </c>
      <c r="T254">
        <v>11</v>
      </c>
      <c r="U254" t="s">
        <v>29</v>
      </c>
      <c r="V254">
        <v>0</v>
      </c>
      <c r="W254">
        <v>0</v>
      </c>
      <c r="X254">
        <v>15</v>
      </c>
    </row>
    <row r="255" spans="1:24" x14ac:dyDescent="0.3">
      <c r="A255" t="s">
        <v>371</v>
      </c>
      <c r="B255">
        <v>10178</v>
      </c>
      <c r="C255" t="s">
        <v>436</v>
      </c>
      <c r="D255">
        <v>1</v>
      </c>
      <c r="E255">
        <v>3</v>
      </c>
      <c r="F255">
        <v>3</v>
      </c>
      <c r="G255">
        <v>87826</v>
      </c>
      <c r="H255">
        <v>9</v>
      </c>
      <c r="I255" t="s">
        <v>66</v>
      </c>
      <c r="J255" t="s">
        <v>24</v>
      </c>
      <c r="K255">
        <v>2110</v>
      </c>
      <c r="L255" s="3">
        <v>25782</v>
      </c>
      <c r="M255" s="5">
        <f t="shared" ca="1" si="6"/>
        <v>55</v>
      </c>
      <c r="N255" t="s">
        <v>25</v>
      </c>
      <c r="O255" t="s">
        <v>32</v>
      </c>
      <c r="P255" s="3">
        <v>42125</v>
      </c>
      <c r="Q255" s="7">
        <f t="shared" ca="1" si="7"/>
        <v>10.964383561643835</v>
      </c>
      <c r="R255" t="s">
        <v>33</v>
      </c>
      <c r="S255" t="s">
        <v>34</v>
      </c>
      <c r="T255">
        <v>4</v>
      </c>
      <c r="U255" t="s">
        <v>55</v>
      </c>
      <c r="V255">
        <v>7</v>
      </c>
      <c r="W255">
        <v>0</v>
      </c>
      <c r="X255">
        <v>16</v>
      </c>
    </row>
    <row r="256" spans="1:24" x14ac:dyDescent="0.3">
      <c r="A256" t="s">
        <v>372</v>
      </c>
      <c r="B256">
        <v>10039</v>
      </c>
      <c r="C256" t="s">
        <v>435</v>
      </c>
      <c r="D256">
        <v>1</v>
      </c>
      <c r="E256">
        <v>1</v>
      </c>
      <c r="F256">
        <v>3</v>
      </c>
      <c r="G256">
        <v>51920</v>
      </c>
      <c r="H256">
        <v>2</v>
      </c>
      <c r="I256" t="s">
        <v>232</v>
      </c>
      <c r="J256" t="s">
        <v>24</v>
      </c>
      <c r="K256">
        <v>2330</v>
      </c>
      <c r="L256" s="3">
        <v>32391</v>
      </c>
      <c r="M256" s="5">
        <f t="shared" ca="1" si="6"/>
        <v>37</v>
      </c>
      <c r="N256" t="s">
        <v>38</v>
      </c>
      <c r="O256" t="s">
        <v>26</v>
      </c>
      <c r="P256" s="3">
        <v>42009</v>
      </c>
      <c r="Q256" s="7">
        <f t="shared" ca="1" si="7"/>
        <v>11.282191780821918</v>
      </c>
      <c r="R256" t="s">
        <v>89</v>
      </c>
      <c r="S256" t="s">
        <v>90</v>
      </c>
      <c r="T256">
        <v>1</v>
      </c>
      <c r="U256" t="s">
        <v>159</v>
      </c>
      <c r="V256">
        <v>5</v>
      </c>
      <c r="W256">
        <v>0</v>
      </c>
      <c r="X256">
        <v>2</v>
      </c>
    </row>
    <row r="257" spans="1:24" x14ac:dyDescent="0.3">
      <c r="A257" t="s">
        <v>373</v>
      </c>
      <c r="B257">
        <v>10095</v>
      </c>
      <c r="C257" t="s">
        <v>435</v>
      </c>
      <c r="D257">
        <v>5</v>
      </c>
      <c r="E257">
        <v>5</v>
      </c>
      <c r="F257">
        <v>3</v>
      </c>
      <c r="G257">
        <v>63878</v>
      </c>
      <c r="H257">
        <v>20</v>
      </c>
      <c r="I257" t="s">
        <v>37</v>
      </c>
      <c r="J257" t="s">
        <v>24</v>
      </c>
      <c r="K257">
        <v>1851</v>
      </c>
      <c r="L257" s="3">
        <v>31908</v>
      </c>
      <c r="M257" s="5">
        <f t="shared" ca="1" si="6"/>
        <v>38</v>
      </c>
      <c r="N257" t="s">
        <v>38</v>
      </c>
      <c r="O257" t="s">
        <v>26</v>
      </c>
      <c r="P257" s="3">
        <v>40112</v>
      </c>
      <c r="Q257" s="7">
        <f t="shared" ca="1" si="7"/>
        <v>16.479452054794521</v>
      </c>
      <c r="R257" t="s">
        <v>27</v>
      </c>
      <c r="S257" t="s">
        <v>28</v>
      </c>
      <c r="T257">
        <v>22</v>
      </c>
      <c r="U257" t="s">
        <v>82</v>
      </c>
      <c r="V257">
        <v>0</v>
      </c>
      <c r="W257">
        <v>0</v>
      </c>
      <c r="X257">
        <v>20</v>
      </c>
    </row>
    <row r="258" spans="1:24" x14ac:dyDescent="0.3">
      <c r="A258" t="s">
        <v>374</v>
      </c>
      <c r="B258">
        <v>10027</v>
      </c>
      <c r="C258" t="s">
        <v>436</v>
      </c>
      <c r="D258">
        <v>1</v>
      </c>
      <c r="E258">
        <v>5</v>
      </c>
      <c r="F258">
        <v>4</v>
      </c>
      <c r="G258">
        <v>60656</v>
      </c>
      <c r="H258">
        <v>20</v>
      </c>
      <c r="I258" t="s">
        <v>37</v>
      </c>
      <c r="J258" t="s">
        <v>24</v>
      </c>
      <c r="K258">
        <v>2045</v>
      </c>
      <c r="L258" s="3">
        <v>23080</v>
      </c>
      <c r="M258" s="5">
        <f t="shared" ref="M258:M311" ca="1" si="8">DATEDIF(L258,TODAY(),"Y")</f>
        <v>63</v>
      </c>
      <c r="N258" t="s">
        <v>25</v>
      </c>
      <c r="O258" t="s">
        <v>26</v>
      </c>
      <c r="P258" s="3">
        <v>41911</v>
      </c>
      <c r="Q258" s="7">
        <f t="shared" ref="Q258:Q311" ca="1" si="9">(TODAY()-P258)/365</f>
        <v>11.550684931506849</v>
      </c>
      <c r="R258" t="s">
        <v>27</v>
      </c>
      <c r="S258" t="s">
        <v>41</v>
      </c>
      <c r="T258">
        <v>16</v>
      </c>
      <c r="U258" t="s">
        <v>35</v>
      </c>
      <c r="V258">
        <v>0</v>
      </c>
      <c r="W258">
        <v>0</v>
      </c>
      <c r="X258">
        <v>4</v>
      </c>
    </row>
    <row r="259" spans="1:24" x14ac:dyDescent="0.3">
      <c r="A259" t="s">
        <v>375</v>
      </c>
      <c r="B259">
        <v>10291</v>
      </c>
      <c r="C259" t="s">
        <v>436</v>
      </c>
      <c r="D259">
        <v>1</v>
      </c>
      <c r="E259">
        <v>6</v>
      </c>
      <c r="F259">
        <v>2</v>
      </c>
      <c r="G259">
        <v>72992</v>
      </c>
      <c r="H259">
        <v>21</v>
      </c>
      <c r="I259" t="s">
        <v>141</v>
      </c>
      <c r="J259" t="s">
        <v>24</v>
      </c>
      <c r="K259">
        <v>1886</v>
      </c>
      <c r="L259" s="3">
        <v>30841</v>
      </c>
      <c r="M259" s="5">
        <f t="shared" ca="1" si="8"/>
        <v>41</v>
      </c>
      <c r="N259" t="s">
        <v>25</v>
      </c>
      <c r="O259" t="s">
        <v>43</v>
      </c>
      <c r="P259" s="3">
        <v>41777</v>
      </c>
      <c r="Q259" s="7">
        <f t="shared" ca="1" si="9"/>
        <v>11.917808219178083</v>
      </c>
      <c r="R259" t="s">
        <v>103</v>
      </c>
      <c r="S259" t="s">
        <v>142</v>
      </c>
      <c r="T259">
        <v>15</v>
      </c>
      <c r="U259" t="s">
        <v>58</v>
      </c>
      <c r="V259">
        <v>0</v>
      </c>
      <c r="W259">
        <v>2</v>
      </c>
      <c r="X259">
        <v>16</v>
      </c>
    </row>
    <row r="260" spans="1:24" x14ac:dyDescent="0.3">
      <c r="A260" t="s">
        <v>376</v>
      </c>
      <c r="B260">
        <v>10153</v>
      </c>
      <c r="C260" t="s">
        <v>435</v>
      </c>
      <c r="D260">
        <v>5</v>
      </c>
      <c r="E260">
        <v>1</v>
      </c>
      <c r="F260">
        <v>3</v>
      </c>
      <c r="G260">
        <v>55000</v>
      </c>
      <c r="H260">
        <v>2</v>
      </c>
      <c r="I260" t="s">
        <v>232</v>
      </c>
      <c r="J260" t="s">
        <v>24</v>
      </c>
      <c r="K260">
        <v>1844</v>
      </c>
      <c r="L260" s="3">
        <v>31873</v>
      </c>
      <c r="M260" s="5">
        <f t="shared" ca="1" si="8"/>
        <v>39</v>
      </c>
      <c r="N260" t="s">
        <v>38</v>
      </c>
      <c r="O260" t="s">
        <v>32</v>
      </c>
      <c r="P260" s="3">
        <v>40812</v>
      </c>
      <c r="Q260" s="7">
        <f t="shared" ca="1" si="9"/>
        <v>14.561643835616438</v>
      </c>
      <c r="R260" t="s">
        <v>89</v>
      </c>
      <c r="S260" t="s">
        <v>90</v>
      </c>
      <c r="T260">
        <v>1</v>
      </c>
      <c r="U260" t="s">
        <v>58</v>
      </c>
      <c r="V260">
        <v>4</v>
      </c>
      <c r="W260">
        <v>0</v>
      </c>
      <c r="X260">
        <v>17</v>
      </c>
    </row>
    <row r="261" spans="1:24" x14ac:dyDescent="0.3">
      <c r="A261" t="s">
        <v>377</v>
      </c>
      <c r="B261">
        <v>10157</v>
      </c>
      <c r="C261" t="s">
        <v>435</v>
      </c>
      <c r="D261">
        <v>1</v>
      </c>
      <c r="E261">
        <v>5</v>
      </c>
      <c r="F261">
        <v>3</v>
      </c>
      <c r="G261">
        <v>58939</v>
      </c>
      <c r="H261">
        <v>19</v>
      </c>
      <c r="I261" t="s">
        <v>23</v>
      </c>
      <c r="J261" t="s">
        <v>24</v>
      </c>
      <c r="K261">
        <v>2130</v>
      </c>
      <c r="L261" s="3">
        <v>23775</v>
      </c>
      <c r="M261" s="5">
        <f t="shared" ca="1" si="8"/>
        <v>61</v>
      </c>
      <c r="N261" t="s">
        <v>38</v>
      </c>
      <c r="O261" t="s">
        <v>26</v>
      </c>
      <c r="P261" s="3">
        <v>41589</v>
      </c>
      <c r="Q261" s="7">
        <f t="shared" ca="1" si="9"/>
        <v>12.432876712328767</v>
      </c>
      <c r="R261" t="s">
        <v>27</v>
      </c>
      <c r="S261" t="s">
        <v>54</v>
      </c>
      <c r="T261">
        <v>19</v>
      </c>
      <c r="U261" t="s">
        <v>55</v>
      </c>
      <c r="V261">
        <v>0</v>
      </c>
      <c r="W261">
        <v>0</v>
      </c>
      <c r="X261">
        <v>16</v>
      </c>
    </row>
    <row r="262" spans="1:24" x14ac:dyDescent="0.3">
      <c r="A262" t="s">
        <v>378</v>
      </c>
      <c r="B262">
        <v>10119</v>
      </c>
      <c r="C262" t="s">
        <v>435</v>
      </c>
      <c r="D262">
        <v>1</v>
      </c>
      <c r="E262">
        <v>3</v>
      </c>
      <c r="F262">
        <v>3</v>
      </c>
      <c r="G262">
        <v>66593</v>
      </c>
      <c r="H262">
        <v>14</v>
      </c>
      <c r="I262" t="s">
        <v>60</v>
      </c>
      <c r="J262" t="s">
        <v>24</v>
      </c>
      <c r="K262">
        <v>2360</v>
      </c>
      <c r="L262" s="3">
        <v>27001</v>
      </c>
      <c r="M262" s="5">
        <f t="shared" ca="1" si="8"/>
        <v>52</v>
      </c>
      <c r="N262" t="s">
        <v>38</v>
      </c>
      <c r="O262" t="s">
        <v>32</v>
      </c>
      <c r="P262" s="3">
        <v>40822</v>
      </c>
      <c r="Q262" s="7">
        <f t="shared" ca="1" si="9"/>
        <v>14.534246575342467</v>
      </c>
      <c r="R262" t="s">
        <v>33</v>
      </c>
      <c r="S262" t="s">
        <v>126</v>
      </c>
      <c r="T262">
        <v>6</v>
      </c>
      <c r="U262" t="s">
        <v>29</v>
      </c>
      <c r="V262">
        <v>5</v>
      </c>
      <c r="W262">
        <v>0</v>
      </c>
      <c r="X262">
        <v>19</v>
      </c>
    </row>
    <row r="263" spans="1:24" x14ac:dyDescent="0.3">
      <c r="A263" t="s">
        <v>379</v>
      </c>
      <c r="B263">
        <v>10180</v>
      </c>
      <c r="C263" t="s">
        <v>436</v>
      </c>
      <c r="D263">
        <v>2</v>
      </c>
      <c r="E263">
        <v>3</v>
      </c>
      <c r="F263">
        <v>3</v>
      </c>
      <c r="G263">
        <v>87565</v>
      </c>
      <c r="H263">
        <v>28</v>
      </c>
      <c r="I263" t="s">
        <v>139</v>
      </c>
      <c r="J263" t="s">
        <v>24</v>
      </c>
      <c r="K263">
        <v>1545</v>
      </c>
      <c r="L263" s="3">
        <v>30561</v>
      </c>
      <c r="M263" s="5">
        <f t="shared" ca="1" si="8"/>
        <v>42</v>
      </c>
      <c r="N263" t="s">
        <v>25</v>
      </c>
      <c r="O263" t="s">
        <v>32</v>
      </c>
      <c r="P263" s="3">
        <v>42551</v>
      </c>
      <c r="Q263" s="7">
        <f t="shared" ca="1" si="9"/>
        <v>9.7972602739726025</v>
      </c>
      <c r="R263" t="s">
        <v>33</v>
      </c>
      <c r="S263" t="s">
        <v>61</v>
      </c>
      <c r="T263">
        <v>7</v>
      </c>
      <c r="U263" t="s">
        <v>29</v>
      </c>
      <c r="V263">
        <v>5</v>
      </c>
      <c r="W263">
        <v>0</v>
      </c>
      <c r="X263">
        <v>13</v>
      </c>
    </row>
    <row r="264" spans="1:24" x14ac:dyDescent="0.3">
      <c r="A264" t="s">
        <v>380</v>
      </c>
      <c r="B264">
        <v>10302</v>
      </c>
      <c r="C264" t="s">
        <v>435</v>
      </c>
      <c r="D264">
        <v>1</v>
      </c>
      <c r="E264">
        <v>5</v>
      </c>
      <c r="F264">
        <v>1</v>
      </c>
      <c r="G264">
        <v>64021</v>
      </c>
      <c r="H264">
        <v>19</v>
      </c>
      <c r="I264" t="s">
        <v>23</v>
      </c>
      <c r="J264" t="s">
        <v>24</v>
      </c>
      <c r="K264">
        <v>2093</v>
      </c>
      <c r="L264" s="3">
        <v>24875</v>
      </c>
      <c r="M264" s="5">
        <f t="shared" ca="1" si="8"/>
        <v>58</v>
      </c>
      <c r="N264" t="s">
        <v>38</v>
      </c>
      <c r="O264" t="s">
        <v>32</v>
      </c>
      <c r="P264" s="3">
        <v>40959</v>
      </c>
      <c r="Q264" s="7">
        <f t="shared" ca="1" si="9"/>
        <v>14.158904109589042</v>
      </c>
      <c r="R264" t="s">
        <v>27</v>
      </c>
      <c r="S264" t="s">
        <v>57</v>
      </c>
      <c r="T264">
        <v>12</v>
      </c>
      <c r="U264" t="s">
        <v>35</v>
      </c>
      <c r="V264">
        <v>1</v>
      </c>
      <c r="W264">
        <v>6</v>
      </c>
      <c r="X264">
        <v>20</v>
      </c>
    </row>
    <row r="265" spans="1:24" x14ac:dyDescent="0.3">
      <c r="A265" t="s">
        <v>381</v>
      </c>
      <c r="B265">
        <v>10090</v>
      </c>
      <c r="C265" t="s">
        <v>435</v>
      </c>
      <c r="D265">
        <v>1</v>
      </c>
      <c r="E265">
        <v>5</v>
      </c>
      <c r="F265">
        <v>3</v>
      </c>
      <c r="G265">
        <v>65714</v>
      </c>
      <c r="H265">
        <v>18</v>
      </c>
      <c r="I265" t="s">
        <v>92</v>
      </c>
      <c r="J265" t="s">
        <v>24</v>
      </c>
      <c r="K265">
        <v>2451</v>
      </c>
      <c r="L265" s="3">
        <v>27462</v>
      </c>
      <c r="M265" s="5">
        <f t="shared" ca="1" si="8"/>
        <v>51</v>
      </c>
      <c r="N265" t="s">
        <v>38</v>
      </c>
      <c r="O265" t="s">
        <v>32</v>
      </c>
      <c r="P265" s="3">
        <v>40949</v>
      </c>
      <c r="Q265" s="7">
        <f t="shared" ca="1" si="9"/>
        <v>14.186301369863013</v>
      </c>
      <c r="R265" t="s">
        <v>27</v>
      </c>
      <c r="S265" t="s">
        <v>93</v>
      </c>
      <c r="T265">
        <v>2</v>
      </c>
      <c r="U265" t="s">
        <v>29</v>
      </c>
      <c r="V265">
        <v>0</v>
      </c>
      <c r="W265">
        <v>0</v>
      </c>
      <c r="X265">
        <v>15</v>
      </c>
    </row>
    <row r="266" spans="1:24" x14ac:dyDescent="0.3">
      <c r="A266" t="s">
        <v>382</v>
      </c>
      <c r="B266">
        <v>10030</v>
      </c>
      <c r="C266" t="s">
        <v>435</v>
      </c>
      <c r="D266">
        <v>5</v>
      </c>
      <c r="E266">
        <v>5</v>
      </c>
      <c r="F266">
        <v>4</v>
      </c>
      <c r="G266">
        <v>62425</v>
      </c>
      <c r="H266">
        <v>19</v>
      </c>
      <c r="I266" t="s">
        <v>23</v>
      </c>
      <c r="J266" t="s">
        <v>24</v>
      </c>
      <c r="K266">
        <v>2359</v>
      </c>
      <c r="L266" s="3">
        <v>26818</v>
      </c>
      <c r="M266" s="5">
        <f t="shared" ca="1" si="8"/>
        <v>52</v>
      </c>
      <c r="N266" t="s">
        <v>38</v>
      </c>
      <c r="O266" t="s">
        <v>43</v>
      </c>
      <c r="P266" s="3">
        <v>41407</v>
      </c>
      <c r="Q266" s="7">
        <f t="shared" ca="1" si="9"/>
        <v>12.931506849315069</v>
      </c>
      <c r="R266" t="s">
        <v>27</v>
      </c>
      <c r="S266" t="s">
        <v>63</v>
      </c>
      <c r="T266">
        <v>14</v>
      </c>
      <c r="U266" t="s">
        <v>29</v>
      </c>
      <c r="V266">
        <v>0</v>
      </c>
      <c r="W266">
        <v>0</v>
      </c>
      <c r="X266">
        <v>16</v>
      </c>
    </row>
    <row r="267" spans="1:24" x14ac:dyDescent="0.3">
      <c r="A267" t="s">
        <v>383</v>
      </c>
      <c r="B267">
        <v>10278</v>
      </c>
      <c r="C267" t="s">
        <v>435</v>
      </c>
      <c r="D267">
        <v>1</v>
      </c>
      <c r="E267">
        <v>5</v>
      </c>
      <c r="F267">
        <v>3</v>
      </c>
      <c r="G267">
        <v>47961</v>
      </c>
      <c r="H267">
        <v>19</v>
      </c>
      <c r="I267" t="s">
        <v>23</v>
      </c>
      <c r="J267" t="s">
        <v>24</v>
      </c>
      <c r="K267">
        <v>2050</v>
      </c>
      <c r="L267" s="3">
        <v>30079</v>
      </c>
      <c r="M267" s="5">
        <f t="shared" ca="1" si="8"/>
        <v>43</v>
      </c>
      <c r="N267" t="s">
        <v>38</v>
      </c>
      <c r="O267" t="s">
        <v>43</v>
      </c>
      <c r="P267" s="3">
        <v>40817</v>
      </c>
      <c r="Q267" s="7">
        <f t="shared" ca="1" si="9"/>
        <v>14.547945205479452</v>
      </c>
      <c r="R267" t="s">
        <v>27</v>
      </c>
      <c r="S267" t="s">
        <v>39</v>
      </c>
      <c r="T267">
        <v>20</v>
      </c>
      <c r="U267" t="s">
        <v>45</v>
      </c>
      <c r="V267">
        <v>0</v>
      </c>
      <c r="W267">
        <v>0</v>
      </c>
      <c r="X267">
        <v>9</v>
      </c>
    </row>
    <row r="268" spans="1:24" x14ac:dyDescent="0.3">
      <c r="A268" t="s">
        <v>384</v>
      </c>
      <c r="B268">
        <v>10307</v>
      </c>
      <c r="C268" t="s">
        <v>436</v>
      </c>
      <c r="D268">
        <v>1</v>
      </c>
      <c r="E268">
        <v>6</v>
      </c>
      <c r="F268">
        <v>1</v>
      </c>
      <c r="G268">
        <v>58273</v>
      </c>
      <c r="H268">
        <v>3</v>
      </c>
      <c r="I268" t="s">
        <v>101</v>
      </c>
      <c r="J268" t="s">
        <v>385</v>
      </c>
      <c r="K268">
        <v>89139</v>
      </c>
      <c r="L268" s="3">
        <v>27277</v>
      </c>
      <c r="M268" s="5">
        <f t="shared" ca="1" si="8"/>
        <v>51</v>
      </c>
      <c r="N268" t="s">
        <v>25</v>
      </c>
      <c r="O268" t="s">
        <v>32</v>
      </c>
      <c r="P268" s="3">
        <v>41978</v>
      </c>
      <c r="Q268" s="7">
        <f t="shared" ca="1" si="9"/>
        <v>11.367123287671232</v>
      </c>
      <c r="R268" t="s">
        <v>103</v>
      </c>
      <c r="S268" t="s">
        <v>122</v>
      </c>
      <c r="T268">
        <v>21</v>
      </c>
      <c r="U268" t="s">
        <v>159</v>
      </c>
      <c r="V268">
        <v>0</v>
      </c>
      <c r="W268">
        <v>3</v>
      </c>
      <c r="X268">
        <v>5</v>
      </c>
    </row>
    <row r="269" spans="1:24" x14ac:dyDescent="0.3">
      <c r="A269" t="s">
        <v>386</v>
      </c>
      <c r="B269">
        <v>10147</v>
      </c>
      <c r="C269" t="s">
        <v>436</v>
      </c>
      <c r="D269">
        <v>1</v>
      </c>
      <c r="E269">
        <v>1</v>
      </c>
      <c r="F269">
        <v>3</v>
      </c>
      <c r="G269">
        <v>63003</v>
      </c>
      <c r="H269">
        <v>1</v>
      </c>
      <c r="I269" t="s">
        <v>96</v>
      </c>
      <c r="J269" t="s">
        <v>24</v>
      </c>
      <c r="K269">
        <v>2703</v>
      </c>
      <c r="L269" s="3">
        <v>31421</v>
      </c>
      <c r="M269" s="5">
        <f t="shared" ca="1" si="8"/>
        <v>40</v>
      </c>
      <c r="N269" t="s">
        <v>25</v>
      </c>
      <c r="O269" t="s">
        <v>26</v>
      </c>
      <c r="P269" s="3">
        <v>41911</v>
      </c>
      <c r="Q269" s="7">
        <f t="shared" ca="1" si="9"/>
        <v>11.550684931506849</v>
      </c>
      <c r="R269" t="s">
        <v>89</v>
      </c>
      <c r="S269" t="s">
        <v>90</v>
      </c>
      <c r="T269">
        <v>1</v>
      </c>
      <c r="U269" t="s">
        <v>35</v>
      </c>
      <c r="V269">
        <v>5</v>
      </c>
      <c r="W269">
        <v>0</v>
      </c>
      <c r="X269">
        <v>9</v>
      </c>
    </row>
    <row r="270" spans="1:24" x14ac:dyDescent="0.3">
      <c r="A270" t="s">
        <v>387</v>
      </c>
      <c r="B270">
        <v>10266</v>
      </c>
      <c r="C270" t="s">
        <v>436</v>
      </c>
      <c r="D270">
        <v>1</v>
      </c>
      <c r="E270">
        <v>5</v>
      </c>
      <c r="F270">
        <v>3</v>
      </c>
      <c r="G270">
        <v>61355</v>
      </c>
      <c r="H270">
        <v>19</v>
      </c>
      <c r="I270" t="s">
        <v>23</v>
      </c>
      <c r="J270" t="s">
        <v>24</v>
      </c>
      <c r="K270">
        <v>2301</v>
      </c>
      <c r="L270" s="3">
        <v>31140</v>
      </c>
      <c r="M270" s="5">
        <f t="shared" ca="1" si="8"/>
        <v>41</v>
      </c>
      <c r="N270" t="s">
        <v>25</v>
      </c>
      <c r="O270" t="s">
        <v>32</v>
      </c>
      <c r="P270" s="3">
        <v>41687</v>
      </c>
      <c r="Q270" s="7">
        <f t="shared" ca="1" si="9"/>
        <v>12.164383561643836</v>
      </c>
      <c r="R270" t="s">
        <v>27</v>
      </c>
      <c r="S270" t="s">
        <v>69</v>
      </c>
      <c r="T270">
        <v>18</v>
      </c>
      <c r="U270" t="s">
        <v>29</v>
      </c>
      <c r="V270">
        <v>0</v>
      </c>
      <c r="W270">
        <v>0</v>
      </c>
      <c r="X270">
        <v>4</v>
      </c>
    </row>
    <row r="271" spans="1:24" x14ac:dyDescent="0.3">
      <c r="A271" t="s">
        <v>388</v>
      </c>
      <c r="B271">
        <v>10241</v>
      </c>
      <c r="C271" t="s">
        <v>435</v>
      </c>
      <c r="D271">
        <v>1</v>
      </c>
      <c r="E271">
        <v>6</v>
      </c>
      <c r="F271">
        <v>3</v>
      </c>
      <c r="G271">
        <v>60120</v>
      </c>
      <c r="H271">
        <v>3</v>
      </c>
      <c r="I271" t="s">
        <v>101</v>
      </c>
      <c r="J271" t="s">
        <v>389</v>
      </c>
      <c r="K271">
        <v>59102</v>
      </c>
      <c r="L271" s="3">
        <v>32544</v>
      </c>
      <c r="M271" s="5">
        <f t="shared" ca="1" si="8"/>
        <v>37</v>
      </c>
      <c r="N271" t="s">
        <v>38</v>
      </c>
      <c r="O271" t="s">
        <v>32</v>
      </c>
      <c r="P271" s="3">
        <v>40448</v>
      </c>
      <c r="Q271" s="7">
        <f t="shared" ca="1" si="9"/>
        <v>15.558904109589042</v>
      </c>
      <c r="R271" t="s">
        <v>103</v>
      </c>
      <c r="S271" t="s">
        <v>104</v>
      </c>
      <c r="T271">
        <v>17</v>
      </c>
      <c r="U271" t="s">
        <v>35</v>
      </c>
      <c r="V271">
        <v>0</v>
      </c>
      <c r="W271">
        <v>0</v>
      </c>
      <c r="X271">
        <v>18</v>
      </c>
    </row>
    <row r="272" spans="1:24" x14ac:dyDescent="0.3">
      <c r="A272" t="s">
        <v>390</v>
      </c>
      <c r="B272">
        <v>10158</v>
      </c>
      <c r="C272" t="s">
        <v>435</v>
      </c>
      <c r="D272">
        <v>1</v>
      </c>
      <c r="E272">
        <v>5</v>
      </c>
      <c r="F272">
        <v>3</v>
      </c>
      <c r="G272">
        <v>63682</v>
      </c>
      <c r="H272">
        <v>18</v>
      </c>
      <c r="I272" t="s">
        <v>92</v>
      </c>
      <c r="J272" t="s">
        <v>24</v>
      </c>
      <c r="K272">
        <v>1776</v>
      </c>
      <c r="L272" s="3">
        <v>28705</v>
      </c>
      <c r="M272" s="5">
        <f t="shared" ca="1" si="8"/>
        <v>47</v>
      </c>
      <c r="N272" t="s">
        <v>38</v>
      </c>
      <c r="O272" t="s">
        <v>32</v>
      </c>
      <c r="P272" s="3">
        <v>40026</v>
      </c>
      <c r="Q272" s="7">
        <f t="shared" ca="1" si="9"/>
        <v>16.715068493150685</v>
      </c>
      <c r="R272" t="s">
        <v>27</v>
      </c>
      <c r="S272" t="s">
        <v>93</v>
      </c>
      <c r="T272">
        <v>2</v>
      </c>
      <c r="U272" t="s">
        <v>35</v>
      </c>
      <c r="V272">
        <v>0</v>
      </c>
      <c r="W272">
        <v>0</v>
      </c>
      <c r="X272">
        <v>12</v>
      </c>
    </row>
    <row r="273" spans="1:24" x14ac:dyDescent="0.3">
      <c r="A273" t="s">
        <v>391</v>
      </c>
      <c r="B273">
        <v>10117</v>
      </c>
      <c r="C273" t="s">
        <v>436</v>
      </c>
      <c r="D273">
        <v>1</v>
      </c>
      <c r="E273">
        <v>5</v>
      </c>
      <c r="F273">
        <v>3</v>
      </c>
      <c r="G273">
        <v>63025</v>
      </c>
      <c r="H273">
        <v>19</v>
      </c>
      <c r="I273" t="s">
        <v>23</v>
      </c>
      <c r="J273" t="s">
        <v>24</v>
      </c>
      <c r="K273">
        <v>2747</v>
      </c>
      <c r="L273" s="3">
        <v>30142</v>
      </c>
      <c r="M273" s="5">
        <f t="shared" ca="1" si="8"/>
        <v>43</v>
      </c>
      <c r="N273" t="s">
        <v>25</v>
      </c>
      <c r="O273" t="s">
        <v>32</v>
      </c>
      <c r="P273" s="3">
        <v>42125</v>
      </c>
      <c r="Q273" s="7">
        <f t="shared" ca="1" si="9"/>
        <v>10.964383561643835</v>
      </c>
      <c r="R273" t="s">
        <v>27</v>
      </c>
      <c r="S273" t="s">
        <v>28</v>
      </c>
      <c r="T273">
        <v>22</v>
      </c>
      <c r="U273" t="s">
        <v>45</v>
      </c>
      <c r="V273">
        <v>0</v>
      </c>
      <c r="W273">
        <v>0</v>
      </c>
      <c r="X273">
        <v>10</v>
      </c>
    </row>
    <row r="274" spans="1:24" x14ac:dyDescent="0.3">
      <c r="A274" t="s">
        <v>392</v>
      </c>
      <c r="B274">
        <v>10209</v>
      </c>
      <c r="C274" t="s">
        <v>435</v>
      </c>
      <c r="D274">
        <v>1</v>
      </c>
      <c r="E274">
        <v>5</v>
      </c>
      <c r="F274">
        <v>3</v>
      </c>
      <c r="G274">
        <v>59238</v>
      </c>
      <c r="H274">
        <v>19</v>
      </c>
      <c r="I274" t="s">
        <v>23</v>
      </c>
      <c r="J274" t="s">
        <v>24</v>
      </c>
      <c r="K274">
        <v>2718</v>
      </c>
      <c r="L274" s="3">
        <v>24966</v>
      </c>
      <c r="M274" s="5">
        <f t="shared" ca="1" si="8"/>
        <v>57</v>
      </c>
      <c r="N274" t="s">
        <v>38</v>
      </c>
      <c r="O274" t="s">
        <v>26</v>
      </c>
      <c r="P274" s="3">
        <v>41043</v>
      </c>
      <c r="Q274" s="7">
        <f t="shared" ca="1" si="9"/>
        <v>13.92876712328767</v>
      </c>
      <c r="R274" t="s">
        <v>27</v>
      </c>
      <c r="S274" t="s">
        <v>41</v>
      </c>
      <c r="T274">
        <v>16</v>
      </c>
      <c r="U274" t="s">
        <v>35</v>
      </c>
      <c r="V274">
        <v>0</v>
      </c>
      <c r="W274">
        <v>0</v>
      </c>
      <c r="X274">
        <v>13</v>
      </c>
    </row>
    <row r="275" spans="1:24" x14ac:dyDescent="0.3">
      <c r="A275" t="s">
        <v>393</v>
      </c>
      <c r="B275">
        <v>10024</v>
      </c>
      <c r="C275" t="s">
        <v>436</v>
      </c>
      <c r="D275">
        <v>1</v>
      </c>
      <c r="E275">
        <v>4</v>
      </c>
      <c r="F275">
        <v>4</v>
      </c>
      <c r="G275">
        <v>92989</v>
      </c>
      <c r="H275">
        <v>24</v>
      </c>
      <c r="I275" t="s">
        <v>49</v>
      </c>
      <c r="J275" t="s">
        <v>24</v>
      </c>
      <c r="K275">
        <v>2140</v>
      </c>
      <c r="L275" s="3">
        <v>30472</v>
      </c>
      <c r="M275" s="5">
        <f t="shared" ca="1" si="8"/>
        <v>42</v>
      </c>
      <c r="N275" t="s">
        <v>25</v>
      </c>
      <c r="O275" t="s">
        <v>26</v>
      </c>
      <c r="P275" s="3">
        <v>41827</v>
      </c>
      <c r="Q275" s="7">
        <f t="shared" ca="1" si="9"/>
        <v>11.780821917808218</v>
      </c>
      <c r="R275" t="s">
        <v>50</v>
      </c>
      <c r="S275" t="s">
        <v>51</v>
      </c>
      <c r="T275">
        <v>10</v>
      </c>
      <c r="U275" t="s">
        <v>29</v>
      </c>
      <c r="V275">
        <v>5</v>
      </c>
      <c r="W275">
        <v>0</v>
      </c>
      <c r="X275">
        <v>1</v>
      </c>
    </row>
    <row r="276" spans="1:24" x14ac:dyDescent="0.3">
      <c r="A276" t="s">
        <v>394</v>
      </c>
      <c r="B276">
        <v>10173</v>
      </c>
      <c r="C276" t="s">
        <v>436</v>
      </c>
      <c r="D276">
        <v>1</v>
      </c>
      <c r="E276">
        <v>3</v>
      </c>
      <c r="F276">
        <v>3</v>
      </c>
      <c r="G276">
        <v>90100</v>
      </c>
      <c r="H276">
        <v>4</v>
      </c>
      <c r="I276" t="s">
        <v>154</v>
      </c>
      <c r="J276" t="s">
        <v>24</v>
      </c>
      <c r="K276">
        <v>2134</v>
      </c>
      <c r="L276" s="3">
        <v>31877</v>
      </c>
      <c r="M276" s="5">
        <f t="shared" ca="1" si="8"/>
        <v>39</v>
      </c>
      <c r="N276" t="s">
        <v>25</v>
      </c>
      <c r="O276" t="s">
        <v>32</v>
      </c>
      <c r="P276" s="3">
        <v>42845</v>
      </c>
      <c r="Q276" s="7">
        <f t="shared" ca="1" si="9"/>
        <v>8.9917808219178088</v>
      </c>
      <c r="R276" t="s">
        <v>33</v>
      </c>
      <c r="S276" t="s">
        <v>155</v>
      </c>
      <c r="T276">
        <v>13</v>
      </c>
      <c r="U276" t="s">
        <v>35</v>
      </c>
      <c r="V276">
        <v>6</v>
      </c>
      <c r="W276">
        <v>0</v>
      </c>
      <c r="X276">
        <v>14</v>
      </c>
    </row>
    <row r="277" spans="1:24" x14ac:dyDescent="0.3">
      <c r="A277" t="s">
        <v>395</v>
      </c>
      <c r="B277">
        <v>10221</v>
      </c>
      <c r="C277" t="s">
        <v>435</v>
      </c>
      <c r="D277">
        <v>5</v>
      </c>
      <c r="E277">
        <v>5</v>
      </c>
      <c r="F277">
        <v>3</v>
      </c>
      <c r="G277">
        <v>60754</v>
      </c>
      <c r="H277">
        <v>19</v>
      </c>
      <c r="I277" t="s">
        <v>23</v>
      </c>
      <c r="J277" t="s">
        <v>24</v>
      </c>
      <c r="K277">
        <v>1801</v>
      </c>
      <c r="L277" s="3">
        <v>27457</v>
      </c>
      <c r="M277" s="5">
        <f t="shared" ca="1" si="8"/>
        <v>51</v>
      </c>
      <c r="N277" t="s">
        <v>38</v>
      </c>
      <c r="O277" t="s">
        <v>32</v>
      </c>
      <c r="P277" s="3">
        <v>39930</v>
      </c>
      <c r="Q277" s="7">
        <f t="shared" ca="1" si="9"/>
        <v>16.978082191780821</v>
      </c>
      <c r="R277" t="s">
        <v>27</v>
      </c>
      <c r="S277" t="s">
        <v>44</v>
      </c>
      <c r="T277">
        <v>39</v>
      </c>
      <c r="U277" t="s">
        <v>58</v>
      </c>
      <c r="V277">
        <v>0</v>
      </c>
      <c r="W277">
        <v>0</v>
      </c>
      <c r="X277">
        <v>11</v>
      </c>
    </row>
    <row r="278" spans="1:24" x14ac:dyDescent="0.3">
      <c r="A278" t="s">
        <v>396</v>
      </c>
      <c r="B278">
        <v>10146</v>
      </c>
      <c r="C278" t="s">
        <v>435</v>
      </c>
      <c r="D278">
        <v>5</v>
      </c>
      <c r="E278">
        <v>5</v>
      </c>
      <c r="F278">
        <v>3</v>
      </c>
      <c r="G278">
        <v>72202</v>
      </c>
      <c r="H278">
        <v>20</v>
      </c>
      <c r="I278" t="s">
        <v>37</v>
      </c>
      <c r="J278" t="s">
        <v>24</v>
      </c>
      <c r="K278">
        <v>2129</v>
      </c>
      <c r="L278" s="3">
        <v>19454</v>
      </c>
      <c r="M278" s="5">
        <f t="shared" ca="1" si="8"/>
        <v>73</v>
      </c>
      <c r="N278" t="s">
        <v>38</v>
      </c>
      <c r="O278" t="s">
        <v>32</v>
      </c>
      <c r="P278" s="3">
        <v>40679</v>
      </c>
      <c r="Q278" s="7">
        <f t="shared" ca="1" si="9"/>
        <v>14.926027397260274</v>
      </c>
      <c r="R278" t="s">
        <v>27</v>
      </c>
      <c r="S278" t="s">
        <v>41</v>
      </c>
      <c r="T278">
        <v>16</v>
      </c>
      <c r="U278" t="s">
        <v>45</v>
      </c>
      <c r="V278">
        <v>0</v>
      </c>
      <c r="W278">
        <v>0</v>
      </c>
      <c r="X278">
        <v>3</v>
      </c>
    </row>
    <row r="279" spans="1:24" x14ac:dyDescent="0.3">
      <c r="A279" t="s">
        <v>397</v>
      </c>
      <c r="B279">
        <v>10161</v>
      </c>
      <c r="C279" t="s">
        <v>435</v>
      </c>
      <c r="D279">
        <v>1</v>
      </c>
      <c r="E279">
        <v>6</v>
      </c>
      <c r="F279">
        <v>3</v>
      </c>
      <c r="G279">
        <v>58370</v>
      </c>
      <c r="H279">
        <v>3</v>
      </c>
      <c r="I279" t="s">
        <v>101</v>
      </c>
      <c r="J279" t="s">
        <v>398</v>
      </c>
      <c r="K279">
        <v>97756</v>
      </c>
      <c r="L279" s="3">
        <v>23928</v>
      </c>
      <c r="M279" s="5">
        <f t="shared" ca="1" si="8"/>
        <v>60</v>
      </c>
      <c r="N279" t="s">
        <v>38</v>
      </c>
      <c r="O279" t="s">
        <v>26</v>
      </c>
      <c r="P279" s="3">
        <v>41911</v>
      </c>
      <c r="Q279" s="7">
        <f t="shared" ca="1" si="9"/>
        <v>11.550684931506849</v>
      </c>
      <c r="R279" t="s">
        <v>103</v>
      </c>
      <c r="S279" t="s">
        <v>122</v>
      </c>
      <c r="T279">
        <v>21</v>
      </c>
      <c r="U279" t="s">
        <v>35</v>
      </c>
      <c r="V279">
        <v>0</v>
      </c>
      <c r="W279">
        <v>0</v>
      </c>
      <c r="X279">
        <v>18</v>
      </c>
    </row>
    <row r="280" spans="1:24" x14ac:dyDescent="0.3">
      <c r="A280" t="s">
        <v>399</v>
      </c>
      <c r="B280">
        <v>10141</v>
      </c>
      <c r="C280" t="s">
        <v>435</v>
      </c>
      <c r="D280">
        <v>5</v>
      </c>
      <c r="E280">
        <v>5</v>
      </c>
      <c r="F280">
        <v>3</v>
      </c>
      <c r="G280">
        <v>48413</v>
      </c>
      <c r="H280">
        <v>19</v>
      </c>
      <c r="I280" t="s">
        <v>23</v>
      </c>
      <c r="J280" t="s">
        <v>24</v>
      </c>
      <c r="K280">
        <v>2066</v>
      </c>
      <c r="L280" s="3">
        <v>23990</v>
      </c>
      <c r="M280" s="5">
        <f t="shared" ca="1" si="8"/>
        <v>60</v>
      </c>
      <c r="N280" t="s">
        <v>38</v>
      </c>
      <c r="O280" t="s">
        <v>26</v>
      </c>
      <c r="P280" s="3">
        <v>40670</v>
      </c>
      <c r="Q280" s="7">
        <f t="shared" ca="1" si="9"/>
        <v>14.950684931506849</v>
      </c>
      <c r="R280" t="s">
        <v>27</v>
      </c>
      <c r="S280" t="s">
        <v>47</v>
      </c>
      <c r="T280">
        <v>11</v>
      </c>
      <c r="U280" t="s">
        <v>35</v>
      </c>
      <c r="V280">
        <v>0</v>
      </c>
      <c r="W280">
        <v>0</v>
      </c>
      <c r="X280">
        <v>1</v>
      </c>
    </row>
    <row r="281" spans="1:24" x14ac:dyDescent="0.3">
      <c r="A281" t="s">
        <v>400</v>
      </c>
      <c r="B281">
        <v>10268</v>
      </c>
      <c r="C281" t="s">
        <v>436</v>
      </c>
      <c r="D281">
        <v>5</v>
      </c>
      <c r="E281">
        <v>5</v>
      </c>
      <c r="F281">
        <v>3</v>
      </c>
      <c r="G281">
        <v>67176</v>
      </c>
      <c r="H281">
        <v>20</v>
      </c>
      <c r="I281" t="s">
        <v>37</v>
      </c>
      <c r="J281" t="s">
        <v>24</v>
      </c>
      <c r="K281">
        <v>2472</v>
      </c>
      <c r="L281" s="3">
        <v>27554</v>
      </c>
      <c r="M281" s="5">
        <f t="shared" ca="1" si="8"/>
        <v>50</v>
      </c>
      <c r="N281" t="s">
        <v>25</v>
      </c>
      <c r="O281" t="s">
        <v>53</v>
      </c>
      <c r="P281" s="3">
        <v>39258</v>
      </c>
      <c r="Q281" s="7">
        <f t="shared" ca="1" si="9"/>
        <v>18.81917808219178</v>
      </c>
      <c r="R281" t="s">
        <v>27</v>
      </c>
      <c r="S281" t="s">
        <v>44</v>
      </c>
      <c r="T281">
        <v>39</v>
      </c>
      <c r="U281" t="s">
        <v>190</v>
      </c>
      <c r="V281">
        <v>0</v>
      </c>
      <c r="W281">
        <v>0</v>
      </c>
      <c r="X281">
        <v>15</v>
      </c>
    </row>
    <row r="282" spans="1:24" x14ac:dyDescent="0.3">
      <c r="A282" t="s">
        <v>401</v>
      </c>
      <c r="B282">
        <v>10123</v>
      </c>
      <c r="C282" t="s">
        <v>435</v>
      </c>
      <c r="D282">
        <v>1</v>
      </c>
      <c r="E282">
        <v>5</v>
      </c>
      <c r="F282">
        <v>3</v>
      </c>
      <c r="G282">
        <v>56339</v>
      </c>
      <c r="H282">
        <v>19</v>
      </c>
      <c r="I282" t="s">
        <v>23</v>
      </c>
      <c r="J282" t="s">
        <v>24</v>
      </c>
      <c r="K282">
        <v>2093</v>
      </c>
      <c r="L282" s="3">
        <v>24598</v>
      </c>
      <c r="M282" s="5">
        <f t="shared" ca="1" si="8"/>
        <v>58</v>
      </c>
      <c r="N282" t="s">
        <v>38</v>
      </c>
      <c r="O282" t="s">
        <v>43</v>
      </c>
      <c r="P282" s="3">
        <v>41323</v>
      </c>
      <c r="Q282" s="7">
        <f t="shared" ca="1" si="9"/>
        <v>13.161643835616438</v>
      </c>
      <c r="R282" t="s">
        <v>27</v>
      </c>
      <c r="S282" t="s">
        <v>57</v>
      </c>
      <c r="T282">
        <v>12</v>
      </c>
      <c r="U282" t="s">
        <v>35</v>
      </c>
      <c r="V282">
        <v>0</v>
      </c>
      <c r="W282">
        <v>0</v>
      </c>
      <c r="X282">
        <v>4</v>
      </c>
    </row>
    <row r="283" spans="1:24" x14ac:dyDescent="0.3">
      <c r="A283" t="s">
        <v>402</v>
      </c>
      <c r="B283">
        <v>10013</v>
      </c>
      <c r="C283" t="s">
        <v>436</v>
      </c>
      <c r="D283">
        <v>1</v>
      </c>
      <c r="E283">
        <v>6</v>
      </c>
      <c r="F283">
        <v>4</v>
      </c>
      <c r="G283">
        <v>64397</v>
      </c>
      <c r="H283">
        <v>3</v>
      </c>
      <c r="I283" t="s">
        <v>101</v>
      </c>
      <c r="J283" t="s">
        <v>403</v>
      </c>
      <c r="K283">
        <v>58782</v>
      </c>
      <c r="L283" s="3">
        <v>24959</v>
      </c>
      <c r="M283" s="5">
        <f t="shared" ca="1" si="8"/>
        <v>57</v>
      </c>
      <c r="N283" t="s">
        <v>25</v>
      </c>
      <c r="O283" t="s">
        <v>99</v>
      </c>
      <c r="P283" s="3">
        <v>38961</v>
      </c>
      <c r="Q283" s="7">
        <f t="shared" ca="1" si="9"/>
        <v>19.632876712328766</v>
      </c>
      <c r="R283" t="s">
        <v>103</v>
      </c>
      <c r="S283" t="s">
        <v>122</v>
      </c>
      <c r="T283">
        <v>21</v>
      </c>
      <c r="U283" t="s">
        <v>35</v>
      </c>
      <c r="V283">
        <v>0</v>
      </c>
      <c r="W283">
        <v>0</v>
      </c>
      <c r="X283">
        <v>6</v>
      </c>
    </row>
    <row r="284" spans="1:24" x14ac:dyDescent="0.3">
      <c r="A284" t="s">
        <v>404</v>
      </c>
      <c r="B284">
        <v>10287</v>
      </c>
      <c r="C284" t="s">
        <v>435</v>
      </c>
      <c r="D284">
        <v>1</v>
      </c>
      <c r="E284">
        <v>5</v>
      </c>
      <c r="F284">
        <v>2</v>
      </c>
      <c r="G284">
        <v>63025</v>
      </c>
      <c r="H284">
        <v>19</v>
      </c>
      <c r="I284" t="s">
        <v>23</v>
      </c>
      <c r="J284" t="s">
        <v>24</v>
      </c>
      <c r="K284">
        <v>2021</v>
      </c>
      <c r="L284" s="3">
        <v>30472</v>
      </c>
      <c r="M284" s="5">
        <f t="shared" ca="1" si="8"/>
        <v>42</v>
      </c>
      <c r="N284" t="s">
        <v>38</v>
      </c>
      <c r="O284" t="s">
        <v>26</v>
      </c>
      <c r="P284" s="3">
        <v>41687</v>
      </c>
      <c r="Q284" s="7">
        <f t="shared" ca="1" si="9"/>
        <v>12.164383561643836</v>
      </c>
      <c r="R284" t="s">
        <v>27</v>
      </c>
      <c r="S284" t="s">
        <v>63</v>
      </c>
      <c r="T284">
        <v>14</v>
      </c>
      <c r="U284" t="s">
        <v>29</v>
      </c>
      <c r="V284">
        <v>0</v>
      </c>
      <c r="W284">
        <v>4</v>
      </c>
      <c r="X284">
        <v>18</v>
      </c>
    </row>
    <row r="285" spans="1:24" x14ac:dyDescent="0.3">
      <c r="A285" t="s">
        <v>405</v>
      </c>
      <c r="B285">
        <v>10044</v>
      </c>
      <c r="C285" t="s">
        <v>436</v>
      </c>
      <c r="D285">
        <v>5</v>
      </c>
      <c r="E285">
        <v>3</v>
      </c>
      <c r="F285">
        <v>3</v>
      </c>
      <c r="G285">
        <v>75281</v>
      </c>
      <c r="H285">
        <v>15</v>
      </c>
      <c r="I285" t="s">
        <v>181</v>
      </c>
      <c r="J285" t="s">
        <v>24</v>
      </c>
      <c r="K285">
        <v>1420</v>
      </c>
      <c r="L285" s="3">
        <v>32268</v>
      </c>
      <c r="M285" s="5">
        <f t="shared" ca="1" si="8"/>
        <v>37</v>
      </c>
      <c r="N285" t="s">
        <v>25</v>
      </c>
      <c r="O285" t="s">
        <v>32</v>
      </c>
      <c r="P285" s="3">
        <v>42125</v>
      </c>
      <c r="Q285" s="7">
        <f t="shared" ca="1" si="9"/>
        <v>10.964383561643835</v>
      </c>
      <c r="R285" t="s">
        <v>33</v>
      </c>
      <c r="S285" t="s">
        <v>61</v>
      </c>
      <c r="T285">
        <v>7</v>
      </c>
      <c r="U285" t="s">
        <v>82</v>
      </c>
      <c r="V285">
        <v>5</v>
      </c>
      <c r="W285">
        <v>0</v>
      </c>
      <c r="X285">
        <v>11</v>
      </c>
    </row>
    <row r="286" spans="1:24" x14ac:dyDescent="0.3">
      <c r="A286" t="s">
        <v>406</v>
      </c>
      <c r="B286">
        <v>10102</v>
      </c>
      <c r="C286" t="s">
        <v>436</v>
      </c>
      <c r="D286">
        <v>5</v>
      </c>
      <c r="E286">
        <v>4</v>
      </c>
      <c r="F286">
        <v>3</v>
      </c>
      <c r="G286">
        <v>100416</v>
      </c>
      <c r="H286">
        <v>24</v>
      </c>
      <c r="I286" t="s">
        <v>49</v>
      </c>
      <c r="J286" t="s">
        <v>24</v>
      </c>
      <c r="K286">
        <v>2451</v>
      </c>
      <c r="L286" s="3">
        <v>30412</v>
      </c>
      <c r="M286" s="5">
        <f t="shared" ca="1" si="8"/>
        <v>43</v>
      </c>
      <c r="N286" t="s">
        <v>25</v>
      </c>
      <c r="O286" t="s">
        <v>26</v>
      </c>
      <c r="P286" s="3">
        <v>41323</v>
      </c>
      <c r="Q286" s="7">
        <f t="shared" ca="1" si="9"/>
        <v>13.161643835616438</v>
      </c>
      <c r="R286" t="s">
        <v>50</v>
      </c>
      <c r="S286" t="s">
        <v>51</v>
      </c>
      <c r="T286">
        <v>10</v>
      </c>
      <c r="U286" t="s">
        <v>58</v>
      </c>
      <c r="V286">
        <v>4</v>
      </c>
      <c r="W286">
        <v>0</v>
      </c>
      <c r="X286">
        <v>9</v>
      </c>
    </row>
    <row r="287" spans="1:24" x14ac:dyDescent="0.3">
      <c r="A287" t="s">
        <v>407</v>
      </c>
      <c r="B287">
        <v>10270</v>
      </c>
      <c r="C287" t="s">
        <v>435</v>
      </c>
      <c r="D287">
        <v>5</v>
      </c>
      <c r="E287">
        <v>5</v>
      </c>
      <c r="F287">
        <v>3</v>
      </c>
      <c r="G287">
        <v>74813</v>
      </c>
      <c r="H287">
        <v>20</v>
      </c>
      <c r="I287" t="s">
        <v>37</v>
      </c>
      <c r="J287" t="s">
        <v>24</v>
      </c>
      <c r="K287">
        <v>1778</v>
      </c>
      <c r="L287" s="3">
        <v>31170</v>
      </c>
      <c r="M287" s="5">
        <f t="shared" ca="1" si="8"/>
        <v>40</v>
      </c>
      <c r="N287" t="s">
        <v>38</v>
      </c>
      <c r="O287" t="s">
        <v>26</v>
      </c>
      <c r="P287" s="3">
        <v>40817</v>
      </c>
      <c r="Q287" s="7">
        <f t="shared" ca="1" si="9"/>
        <v>14.547945205479452</v>
      </c>
      <c r="R287" t="s">
        <v>27</v>
      </c>
      <c r="S287" t="s">
        <v>47</v>
      </c>
      <c r="T287">
        <v>11</v>
      </c>
      <c r="U287" t="s">
        <v>29</v>
      </c>
      <c r="V287">
        <v>0</v>
      </c>
      <c r="W287">
        <v>0</v>
      </c>
      <c r="X287">
        <v>5</v>
      </c>
    </row>
    <row r="288" spans="1:24" x14ac:dyDescent="0.3">
      <c r="A288" t="s">
        <v>408</v>
      </c>
      <c r="B288">
        <v>10045</v>
      </c>
      <c r="C288" t="s">
        <v>436</v>
      </c>
      <c r="D288">
        <v>1</v>
      </c>
      <c r="E288">
        <v>3</v>
      </c>
      <c r="F288">
        <v>3</v>
      </c>
      <c r="G288">
        <v>76029</v>
      </c>
      <c r="H288">
        <v>15</v>
      </c>
      <c r="I288" t="s">
        <v>181</v>
      </c>
      <c r="J288" t="s">
        <v>24</v>
      </c>
      <c r="K288">
        <v>2343</v>
      </c>
      <c r="L288" s="3">
        <v>25265</v>
      </c>
      <c r="M288" s="5">
        <f t="shared" ca="1" si="8"/>
        <v>57</v>
      </c>
      <c r="N288" t="s">
        <v>25</v>
      </c>
      <c r="O288" t="s">
        <v>32</v>
      </c>
      <c r="P288" s="3">
        <v>42093</v>
      </c>
      <c r="Q288" s="7">
        <f t="shared" ca="1" si="9"/>
        <v>11.052054794520547</v>
      </c>
      <c r="R288" t="s">
        <v>33</v>
      </c>
      <c r="S288" t="s">
        <v>61</v>
      </c>
      <c r="T288">
        <v>7</v>
      </c>
      <c r="U288" t="s">
        <v>55</v>
      </c>
      <c r="V288">
        <v>7</v>
      </c>
      <c r="W288">
        <v>0</v>
      </c>
      <c r="X288">
        <v>8</v>
      </c>
    </row>
    <row r="289" spans="1:24" x14ac:dyDescent="0.3">
      <c r="A289" t="s">
        <v>409</v>
      </c>
      <c r="B289">
        <v>10205</v>
      </c>
      <c r="C289" t="s">
        <v>435</v>
      </c>
      <c r="D289">
        <v>1</v>
      </c>
      <c r="E289">
        <v>6</v>
      </c>
      <c r="F289">
        <v>3</v>
      </c>
      <c r="G289">
        <v>57859</v>
      </c>
      <c r="H289">
        <v>3</v>
      </c>
      <c r="I289" t="s">
        <v>101</v>
      </c>
      <c r="J289" t="s">
        <v>410</v>
      </c>
      <c r="K289">
        <v>85006</v>
      </c>
      <c r="L289" s="3">
        <v>33302</v>
      </c>
      <c r="M289" s="5">
        <f t="shared" ca="1" si="8"/>
        <v>35</v>
      </c>
      <c r="N289" t="s">
        <v>38</v>
      </c>
      <c r="O289" t="s">
        <v>32</v>
      </c>
      <c r="P289" s="3">
        <v>40670</v>
      </c>
      <c r="Q289" s="7">
        <f t="shared" ca="1" si="9"/>
        <v>14.950684931506849</v>
      </c>
      <c r="R289" t="s">
        <v>103</v>
      </c>
      <c r="S289" t="s">
        <v>104</v>
      </c>
      <c r="T289">
        <v>17</v>
      </c>
      <c r="U289" t="s">
        <v>35</v>
      </c>
      <c r="V289">
        <v>0</v>
      </c>
      <c r="W289">
        <v>0</v>
      </c>
      <c r="X289">
        <v>16</v>
      </c>
    </row>
    <row r="290" spans="1:24" x14ac:dyDescent="0.3">
      <c r="A290" t="s">
        <v>411</v>
      </c>
      <c r="B290">
        <v>10014</v>
      </c>
      <c r="C290" t="s">
        <v>436</v>
      </c>
      <c r="D290">
        <v>5</v>
      </c>
      <c r="E290">
        <v>5</v>
      </c>
      <c r="F290">
        <v>4</v>
      </c>
      <c r="G290">
        <v>58523</v>
      </c>
      <c r="H290">
        <v>19</v>
      </c>
      <c r="I290" t="s">
        <v>23</v>
      </c>
      <c r="J290" t="s">
        <v>24</v>
      </c>
      <c r="K290">
        <v>2171</v>
      </c>
      <c r="L290" s="3">
        <v>31837</v>
      </c>
      <c r="M290" s="5">
        <f t="shared" ca="1" si="8"/>
        <v>39</v>
      </c>
      <c r="N290" t="s">
        <v>25</v>
      </c>
      <c r="O290" t="s">
        <v>43</v>
      </c>
      <c r="P290" s="3">
        <v>41134</v>
      </c>
      <c r="Q290" s="7">
        <f t="shared" ca="1" si="9"/>
        <v>13.67945205479452</v>
      </c>
      <c r="R290" t="s">
        <v>27</v>
      </c>
      <c r="S290" t="s">
        <v>39</v>
      </c>
      <c r="T290">
        <v>20</v>
      </c>
      <c r="U290" t="s">
        <v>29</v>
      </c>
      <c r="V290">
        <v>0</v>
      </c>
      <c r="W290">
        <v>0</v>
      </c>
      <c r="X290">
        <v>15</v>
      </c>
    </row>
    <row r="291" spans="1:24" x14ac:dyDescent="0.3">
      <c r="A291" t="s">
        <v>412</v>
      </c>
      <c r="B291">
        <v>10144</v>
      </c>
      <c r="C291" t="s">
        <v>436</v>
      </c>
      <c r="D291">
        <v>1</v>
      </c>
      <c r="E291">
        <v>5</v>
      </c>
      <c r="F291">
        <v>3</v>
      </c>
      <c r="G291">
        <v>88976</v>
      </c>
      <c r="H291">
        <v>17</v>
      </c>
      <c r="I291" t="s">
        <v>92</v>
      </c>
      <c r="J291" t="s">
        <v>24</v>
      </c>
      <c r="K291">
        <v>2169</v>
      </c>
      <c r="L291" s="3">
        <v>25121</v>
      </c>
      <c r="M291" s="5">
        <f t="shared" ca="1" si="8"/>
        <v>57</v>
      </c>
      <c r="N291" t="s">
        <v>25</v>
      </c>
      <c r="O291" t="s">
        <v>43</v>
      </c>
      <c r="P291" s="3">
        <v>40551</v>
      </c>
      <c r="Q291" s="7">
        <f t="shared" ca="1" si="9"/>
        <v>15.276712328767124</v>
      </c>
      <c r="R291" t="s">
        <v>27</v>
      </c>
      <c r="S291" t="s">
        <v>93</v>
      </c>
      <c r="T291">
        <v>2</v>
      </c>
      <c r="U291" t="s">
        <v>55</v>
      </c>
      <c r="V291">
        <v>0</v>
      </c>
      <c r="W291">
        <v>0</v>
      </c>
      <c r="X291">
        <v>19</v>
      </c>
    </row>
    <row r="292" spans="1:24" x14ac:dyDescent="0.3">
      <c r="A292" t="s">
        <v>413</v>
      </c>
      <c r="B292">
        <v>10253</v>
      </c>
      <c r="C292" t="s">
        <v>436</v>
      </c>
      <c r="D292">
        <v>1</v>
      </c>
      <c r="E292">
        <v>6</v>
      </c>
      <c r="F292">
        <v>3</v>
      </c>
      <c r="G292">
        <v>55875</v>
      </c>
      <c r="H292">
        <v>3</v>
      </c>
      <c r="I292" t="s">
        <v>101</v>
      </c>
      <c r="J292" t="s">
        <v>414</v>
      </c>
      <c r="K292">
        <v>4063</v>
      </c>
      <c r="L292" s="3">
        <v>32819</v>
      </c>
      <c r="M292" s="5">
        <f t="shared" ca="1" si="8"/>
        <v>36</v>
      </c>
      <c r="N292" t="s">
        <v>25</v>
      </c>
      <c r="O292" t="s">
        <v>26</v>
      </c>
      <c r="P292" s="3">
        <v>41032</v>
      </c>
      <c r="Q292" s="7">
        <f t="shared" ca="1" si="9"/>
        <v>13.95890410958904</v>
      </c>
      <c r="R292" t="s">
        <v>103</v>
      </c>
      <c r="S292" t="s">
        <v>104</v>
      </c>
      <c r="T292">
        <v>17</v>
      </c>
      <c r="U292" t="s">
        <v>159</v>
      </c>
      <c r="V292">
        <v>0</v>
      </c>
      <c r="W292">
        <v>0</v>
      </c>
      <c r="X292">
        <v>11</v>
      </c>
    </row>
    <row r="293" spans="1:24" x14ac:dyDescent="0.3">
      <c r="A293" t="s">
        <v>415</v>
      </c>
      <c r="B293">
        <v>10118</v>
      </c>
      <c r="C293" t="s">
        <v>436</v>
      </c>
      <c r="D293">
        <v>4</v>
      </c>
      <c r="E293">
        <v>3</v>
      </c>
      <c r="F293">
        <v>3</v>
      </c>
      <c r="G293">
        <v>113999</v>
      </c>
      <c r="H293">
        <v>8</v>
      </c>
      <c r="I293" t="s">
        <v>76</v>
      </c>
      <c r="J293" t="s">
        <v>24</v>
      </c>
      <c r="K293">
        <v>1960</v>
      </c>
      <c r="L293" s="3">
        <v>31601</v>
      </c>
      <c r="M293" s="5">
        <f t="shared" ca="1" si="8"/>
        <v>39</v>
      </c>
      <c r="N293" t="s">
        <v>25</v>
      </c>
      <c r="O293" t="s">
        <v>32</v>
      </c>
      <c r="P293" s="3">
        <v>42051</v>
      </c>
      <c r="Q293" s="7">
        <f t="shared" ca="1" si="9"/>
        <v>11.167123287671233</v>
      </c>
      <c r="R293" t="s">
        <v>33</v>
      </c>
      <c r="S293" t="s">
        <v>34</v>
      </c>
      <c r="T293">
        <v>4</v>
      </c>
      <c r="U293" t="s">
        <v>55</v>
      </c>
      <c r="V293">
        <v>7</v>
      </c>
      <c r="W293">
        <v>0</v>
      </c>
      <c r="X293">
        <v>9</v>
      </c>
    </row>
    <row r="294" spans="1:24" x14ac:dyDescent="0.3">
      <c r="A294" t="s">
        <v>416</v>
      </c>
      <c r="B294">
        <v>10022</v>
      </c>
      <c r="C294" t="s">
        <v>435</v>
      </c>
      <c r="D294">
        <v>4</v>
      </c>
      <c r="E294">
        <v>5</v>
      </c>
      <c r="F294">
        <v>4</v>
      </c>
      <c r="G294">
        <v>49773</v>
      </c>
      <c r="H294">
        <v>19</v>
      </c>
      <c r="I294" t="s">
        <v>23</v>
      </c>
      <c r="J294" t="s">
        <v>24</v>
      </c>
      <c r="K294">
        <v>2747</v>
      </c>
      <c r="L294" s="3">
        <v>31477</v>
      </c>
      <c r="M294" s="5">
        <f t="shared" ca="1" si="8"/>
        <v>40</v>
      </c>
      <c r="N294" t="s">
        <v>38</v>
      </c>
      <c r="O294" t="s">
        <v>32</v>
      </c>
      <c r="P294" s="3">
        <v>40812</v>
      </c>
      <c r="Q294" s="7">
        <f t="shared" ca="1" si="9"/>
        <v>14.561643835616438</v>
      </c>
      <c r="R294" t="s">
        <v>27</v>
      </c>
      <c r="S294" t="s">
        <v>69</v>
      </c>
      <c r="T294">
        <v>18</v>
      </c>
      <c r="U294" t="s">
        <v>45</v>
      </c>
      <c r="V294">
        <v>0</v>
      </c>
      <c r="W294">
        <v>0</v>
      </c>
      <c r="X294">
        <v>18</v>
      </c>
    </row>
    <row r="295" spans="1:24" x14ac:dyDescent="0.3">
      <c r="A295" t="s">
        <v>417</v>
      </c>
      <c r="B295">
        <v>10183</v>
      </c>
      <c r="C295" t="s">
        <v>435</v>
      </c>
      <c r="D295">
        <v>2</v>
      </c>
      <c r="E295">
        <v>5</v>
      </c>
      <c r="F295">
        <v>3</v>
      </c>
      <c r="G295">
        <v>62068</v>
      </c>
      <c r="H295">
        <v>19</v>
      </c>
      <c r="I295" t="s">
        <v>23</v>
      </c>
      <c r="J295" t="s">
        <v>24</v>
      </c>
      <c r="K295">
        <v>2124</v>
      </c>
      <c r="L295" s="3">
        <v>31202</v>
      </c>
      <c r="M295" s="5">
        <f t="shared" ca="1" si="8"/>
        <v>40</v>
      </c>
      <c r="N295" t="s">
        <v>38</v>
      </c>
      <c r="O295" t="s">
        <v>26</v>
      </c>
      <c r="P295" s="3">
        <v>42131</v>
      </c>
      <c r="Q295" s="7">
        <f t="shared" ca="1" si="9"/>
        <v>10.947945205479453</v>
      </c>
      <c r="R295" t="s">
        <v>27</v>
      </c>
      <c r="S295" t="s">
        <v>28</v>
      </c>
      <c r="T295">
        <v>22</v>
      </c>
      <c r="U295" t="s">
        <v>29</v>
      </c>
      <c r="V295">
        <v>0</v>
      </c>
      <c r="W295">
        <v>0</v>
      </c>
      <c r="X295">
        <v>7</v>
      </c>
    </row>
    <row r="296" spans="1:24" x14ac:dyDescent="0.3">
      <c r="A296" t="s">
        <v>418</v>
      </c>
      <c r="B296">
        <v>10190</v>
      </c>
      <c r="C296" t="s">
        <v>436</v>
      </c>
      <c r="D296">
        <v>1</v>
      </c>
      <c r="E296">
        <v>5</v>
      </c>
      <c r="F296">
        <v>3</v>
      </c>
      <c r="G296">
        <v>66541</v>
      </c>
      <c r="H296">
        <v>20</v>
      </c>
      <c r="I296" t="s">
        <v>37</v>
      </c>
      <c r="J296" t="s">
        <v>24</v>
      </c>
      <c r="K296">
        <v>2459</v>
      </c>
      <c r="L296" s="3">
        <v>28035</v>
      </c>
      <c r="M296" s="5">
        <f t="shared" ca="1" si="8"/>
        <v>49</v>
      </c>
      <c r="N296" t="s">
        <v>25</v>
      </c>
      <c r="O296" t="s">
        <v>26</v>
      </c>
      <c r="P296" s="3">
        <v>41869</v>
      </c>
      <c r="Q296" s="7">
        <f t="shared" ca="1" si="9"/>
        <v>11.665753424657535</v>
      </c>
      <c r="R296" t="s">
        <v>27</v>
      </c>
      <c r="S296" t="s">
        <v>54</v>
      </c>
      <c r="T296">
        <v>19</v>
      </c>
      <c r="U296" t="s">
        <v>55</v>
      </c>
      <c r="V296">
        <v>0</v>
      </c>
      <c r="W296">
        <v>0</v>
      </c>
      <c r="X296">
        <v>4</v>
      </c>
    </row>
    <row r="297" spans="1:24" x14ac:dyDescent="0.3">
      <c r="A297" t="s">
        <v>419</v>
      </c>
      <c r="B297">
        <v>10274</v>
      </c>
      <c r="C297" t="s">
        <v>435</v>
      </c>
      <c r="D297">
        <v>5</v>
      </c>
      <c r="E297">
        <v>5</v>
      </c>
      <c r="F297">
        <v>3</v>
      </c>
      <c r="G297">
        <v>80512</v>
      </c>
      <c r="H297">
        <v>18</v>
      </c>
      <c r="I297" t="s">
        <v>92</v>
      </c>
      <c r="J297" t="s">
        <v>24</v>
      </c>
      <c r="K297">
        <v>2478</v>
      </c>
      <c r="L297" s="3">
        <v>20190</v>
      </c>
      <c r="M297" s="5">
        <f t="shared" ca="1" si="8"/>
        <v>71</v>
      </c>
      <c r="N297" t="s">
        <v>38</v>
      </c>
      <c r="O297" t="s">
        <v>32</v>
      </c>
      <c r="P297" s="3">
        <v>40812</v>
      </c>
      <c r="Q297" s="7">
        <f t="shared" ca="1" si="9"/>
        <v>14.561643835616438</v>
      </c>
      <c r="R297" t="s">
        <v>27</v>
      </c>
      <c r="S297" t="s">
        <v>93</v>
      </c>
      <c r="T297">
        <v>2</v>
      </c>
      <c r="U297" t="s">
        <v>58</v>
      </c>
      <c r="V297">
        <v>0</v>
      </c>
      <c r="W297">
        <v>0</v>
      </c>
      <c r="X297">
        <v>5</v>
      </c>
    </row>
    <row r="298" spans="1:24" x14ac:dyDescent="0.3">
      <c r="A298" t="s">
        <v>420</v>
      </c>
      <c r="B298">
        <v>10293</v>
      </c>
      <c r="C298" t="s">
        <v>435</v>
      </c>
      <c r="D298">
        <v>5</v>
      </c>
      <c r="E298">
        <v>5</v>
      </c>
      <c r="F298">
        <v>2</v>
      </c>
      <c r="G298">
        <v>50274</v>
      </c>
      <c r="H298">
        <v>19</v>
      </c>
      <c r="I298" t="s">
        <v>23</v>
      </c>
      <c r="J298" t="s">
        <v>24</v>
      </c>
      <c r="K298">
        <v>1887</v>
      </c>
      <c r="L298" s="3">
        <v>29259</v>
      </c>
      <c r="M298" s="5">
        <f t="shared" ca="1" si="8"/>
        <v>46</v>
      </c>
      <c r="N298" t="s">
        <v>38</v>
      </c>
      <c r="O298" t="s">
        <v>26</v>
      </c>
      <c r="P298" s="3">
        <v>41134</v>
      </c>
      <c r="Q298" s="7">
        <f t="shared" ca="1" si="9"/>
        <v>13.67945205479452</v>
      </c>
      <c r="R298" t="s">
        <v>27</v>
      </c>
      <c r="S298" t="s">
        <v>41</v>
      </c>
      <c r="T298">
        <v>16</v>
      </c>
      <c r="U298" t="s">
        <v>82</v>
      </c>
      <c r="V298">
        <v>0</v>
      </c>
      <c r="W298">
        <v>6</v>
      </c>
      <c r="X298">
        <v>13</v>
      </c>
    </row>
    <row r="299" spans="1:24" x14ac:dyDescent="0.3">
      <c r="A299" t="s">
        <v>421</v>
      </c>
      <c r="B299">
        <v>10172</v>
      </c>
      <c r="C299" t="s">
        <v>436</v>
      </c>
      <c r="D299">
        <v>1</v>
      </c>
      <c r="E299">
        <v>3</v>
      </c>
      <c r="F299">
        <v>3</v>
      </c>
      <c r="G299">
        <v>84903</v>
      </c>
      <c r="H299">
        <v>22</v>
      </c>
      <c r="I299" t="s">
        <v>268</v>
      </c>
      <c r="J299" t="s">
        <v>24</v>
      </c>
      <c r="K299">
        <v>1887</v>
      </c>
      <c r="L299" s="3">
        <v>29805</v>
      </c>
      <c r="M299" s="5">
        <f t="shared" ca="1" si="8"/>
        <v>44</v>
      </c>
      <c r="N299" t="s">
        <v>25</v>
      </c>
      <c r="O299" t="s">
        <v>26</v>
      </c>
      <c r="P299" s="3">
        <v>42781</v>
      </c>
      <c r="Q299" s="7">
        <f t="shared" ca="1" si="9"/>
        <v>9.1671232876712327</v>
      </c>
      <c r="R299" t="s">
        <v>33</v>
      </c>
      <c r="S299" t="s">
        <v>155</v>
      </c>
      <c r="T299">
        <v>13</v>
      </c>
      <c r="U299" t="s">
        <v>35</v>
      </c>
      <c r="V299">
        <v>7</v>
      </c>
      <c r="W299">
        <v>0</v>
      </c>
      <c r="X299">
        <v>17</v>
      </c>
    </row>
    <row r="300" spans="1:24" x14ac:dyDescent="0.3">
      <c r="A300" t="s">
        <v>422</v>
      </c>
      <c r="B300">
        <v>10127</v>
      </c>
      <c r="C300" t="s">
        <v>435</v>
      </c>
      <c r="D300">
        <v>1</v>
      </c>
      <c r="E300">
        <v>3</v>
      </c>
      <c r="F300">
        <v>3</v>
      </c>
      <c r="G300">
        <v>107226</v>
      </c>
      <c r="H300">
        <v>28</v>
      </c>
      <c r="I300" t="s">
        <v>139</v>
      </c>
      <c r="J300" t="s">
        <v>24</v>
      </c>
      <c r="K300">
        <v>2453</v>
      </c>
      <c r="L300" s="3">
        <v>28526</v>
      </c>
      <c r="M300" s="5">
        <f t="shared" ca="1" si="8"/>
        <v>48</v>
      </c>
      <c r="N300" t="s">
        <v>38</v>
      </c>
      <c r="O300" t="s">
        <v>53</v>
      </c>
      <c r="P300" s="3">
        <v>42093</v>
      </c>
      <c r="Q300" s="7">
        <f t="shared" ca="1" si="9"/>
        <v>11.052054794520547</v>
      </c>
      <c r="R300" t="s">
        <v>33</v>
      </c>
      <c r="S300" t="s">
        <v>61</v>
      </c>
      <c r="T300">
        <v>7</v>
      </c>
      <c r="U300" t="s">
        <v>55</v>
      </c>
      <c r="V300">
        <v>8</v>
      </c>
      <c r="W300">
        <v>0</v>
      </c>
      <c r="X300">
        <v>7</v>
      </c>
    </row>
    <row r="301" spans="1:24" x14ac:dyDescent="0.3">
      <c r="A301" t="s">
        <v>423</v>
      </c>
      <c r="B301">
        <v>10072</v>
      </c>
      <c r="C301" t="s">
        <v>436</v>
      </c>
      <c r="D301">
        <v>5</v>
      </c>
      <c r="E301">
        <v>5</v>
      </c>
      <c r="F301">
        <v>3</v>
      </c>
      <c r="G301">
        <v>58371</v>
      </c>
      <c r="H301">
        <v>19</v>
      </c>
      <c r="I301" t="s">
        <v>23</v>
      </c>
      <c r="J301" t="s">
        <v>24</v>
      </c>
      <c r="K301">
        <v>2030</v>
      </c>
      <c r="L301" s="3">
        <v>31872</v>
      </c>
      <c r="M301" s="5">
        <f t="shared" ca="1" si="8"/>
        <v>39</v>
      </c>
      <c r="N301" t="s">
        <v>25</v>
      </c>
      <c r="O301" t="s">
        <v>26</v>
      </c>
      <c r="P301" s="3">
        <v>40817</v>
      </c>
      <c r="Q301" s="7">
        <f t="shared" ca="1" si="9"/>
        <v>14.547945205479452</v>
      </c>
      <c r="R301" t="s">
        <v>27</v>
      </c>
      <c r="S301" t="s">
        <v>44</v>
      </c>
      <c r="T301">
        <v>39</v>
      </c>
      <c r="U301" t="s">
        <v>29</v>
      </c>
      <c r="V301">
        <v>0</v>
      </c>
      <c r="W301">
        <v>0</v>
      </c>
      <c r="X301">
        <v>11</v>
      </c>
    </row>
    <row r="302" spans="1:24" x14ac:dyDescent="0.3">
      <c r="A302" t="s">
        <v>424</v>
      </c>
      <c r="B302">
        <v>10048</v>
      </c>
      <c r="C302" t="s">
        <v>436</v>
      </c>
      <c r="D302">
        <v>5</v>
      </c>
      <c r="E302">
        <v>5</v>
      </c>
      <c r="F302">
        <v>3</v>
      </c>
      <c r="G302">
        <v>55140</v>
      </c>
      <c r="H302">
        <v>19</v>
      </c>
      <c r="I302" t="s">
        <v>23</v>
      </c>
      <c r="J302" t="s">
        <v>24</v>
      </c>
      <c r="K302">
        <v>2324</v>
      </c>
      <c r="L302" s="3">
        <v>23994</v>
      </c>
      <c r="M302" s="5">
        <f t="shared" ca="1" si="8"/>
        <v>60</v>
      </c>
      <c r="N302" t="s">
        <v>25</v>
      </c>
      <c r="O302" t="s">
        <v>32</v>
      </c>
      <c r="P302" s="3">
        <v>40679</v>
      </c>
      <c r="Q302" s="7">
        <f t="shared" ca="1" si="9"/>
        <v>14.926027397260274</v>
      </c>
      <c r="R302" t="s">
        <v>27</v>
      </c>
      <c r="S302" t="s">
        <v>47</v>
      </c>
      <c r="T302">
        <v>11</v>
      </c>
      <c r="U302" t="s">
        <v>159</v>
      </c>
      <c r="V302">
        <v>0</v>
      </c>
      <c r="W302">
        <v>0</v>
      </c>
      <c r="X302">
        <v>7</v>
      </c>
    </row>
    <row r="303" spans="1:24" x14ac:dyDescent="0.3">
      <c r="A303" t="s">
        <v>425</v>
      </c>
      <c r="B303">
        <v>10204</v>
      </c>
      <c r="C303" t="s">
        <v>435</v>
      </c>
      <c r="D303">
        <v>5</v>
      </c>
      <c r="E303">
        <v>5</v>
      </c>
      <c r="F303">
        <v>3</v>
      </c>
      <c r="G303">
        <v>58062</v>
      </c>
      <c r="H303">
        <v>19</v>
      </c>
      <c r="I303" t="s">
        <v>23</v>
      </c>
      <c r="J303" t="s">
        <v>24</v>
      </c>
      <c r="K303">
        <v>1876</v>
      </c>
      <c r="L303" s="3">
        <v>30382</v>
      </c>
      <c r="M303" s="5">
        <f t="shared" ca="1" si="8"/>
        <v>43</v>
      </c>
      <c r="N303" t="s">
        <v>38</v>
      </c>
      <c r="O303" t="s">
        <v>43</v>
      </c>
      <c r="P303" s="3">
        <v>40817</v>
      </c>
      <c r="Q303" s="7">
        <f t="shared" ca="1" si="9"/>
        <v>14.547945205479452</v>
      </c>
      <c r="R303" t="s">
        <v>27</v>
      </c>
      <c r="S303" t="s">
        <v>54</v>
      </c>
      <c r="T303">
        <v>19</v>
      </c>
      <c r="U303" t="s">
        <v>45</v>
      </c>
      <c r="V303">
        <v>0</v>
      </c>
      <c r="W303">
        <v>0</v>
      </c>
      <c r="X303">
        <v>9</v>
      </c>
    </row>
    <row r="304" spans="1:24" x14ac:dyDescent="0.3">
      <c r="A304" t="s">
        <v>426</v>
      </c>
      <c r="B304">
        <v>10264</v>
      </c>
      <c r="C304" t="s">
        <v>435</v>
      </c>
      <c r="D304">
        <v>5</v>
      </c>
      <c r="E304">
        <v>5</v>
      </c>
      <c r="F304">
        <v>3</v>
      </c>
      <c r="G304">
        <v>59728</v>
      </c>
      <c r="H304">
        <v>19</v>
      </c>
      <c r="I304" t="s">
        <v>23</v>
      </c>
      <c r="J304" t="s">
        <v>24</v>
      </c>
      <c r="K304">
        <v>2109</v>
      </c>
      <c r="L304" s="3">
        <v>25244</v>
      </c>
      <c r="M304" s="5">
        <f t="shared" ca="1" si="8"/>
        <v>57</v>
      </c>
      <c r="N304" t="s">
        <v>38</v>
      </c>
      <c r="O304" t="s">
        <v>26</v>
      </c>
      <c r="P304" s="3">
        <v>41153</v>
      </c>
      <c r="Q304" s="7">
        <f t="shared" ca="1" si="9"/>
        <v>13.627397260273973</v>
      </c>
      <c r="R304" t="s">
        <v>27</v>
      </c>
      <c r="S304" t="s">
        <v>54</v>
      </c>
      <c r="T304">
        <v>19</v>
      </c>
      <c r="U304" t="s">
        <v>58</v>
      </c>
      <c r="V304">
        <v>0</v>
      </c>
      <c r="W304">
        <v>0</v>
      </c>
      <c r="X304">
        <v>16</v>
      </c>
    </row>
    <row r="305" spans="1:24" x14ac:dyDescent="0.3">
      <c r="A305" t="s">
        <v>427</v>
      </c>
      <c r="B305">
        <v>10033</v>
      </c>
      <c r="C305" t="s">
        <v>436</v>
      </c>
      <c r="D305">
        <v>5</v>
      </c>
      <c r="E305">
        <v>5</v>
      </c>
      <c r="F305">
        <v>4</v>
      </c>
      <c r="G305">
        <v>70507</v>
      </c>
      <c r="H305">
        <v>20</v>
      </c>
      <c r="I305" t="s">
        <v>37</v>
      </c>
      <c r="J305" t="s">
        <v>24</v>
      </c>
      <c r="K305">
        <v>2045</v>
      </c>
      <c r="L305" s="3">
        <v>21377</v>
      </c>
      <c r="M305" s="5">
        <f t="shared" ca="1" si="8"/>
        <v>67</v>
      </c>
      <c r="N305" t="s">
        <v>25</v>
      </c>
      <c r="O305" t="s">
        <v>26</v>
      </c>
      <c r="P305" s="3">
        <v>41456</v>
      </c>
      <c r="Q305" s="7">
        <f t="shared" ca="1" si="9"/>
        <v>12.797260273972602</v>
      </c>
      <c r="R305" t="s">
        <v>27</v>
      </c>
      <c r="S305" t="s">
        <v>57</v>
      </c>
      <c r="T305">
        <v>12</v>
      </c>
      <c r="U305" t="s">
        <v>29</v>
      </c>
      <c r="V305">
        <v>0</v>
      </c>
      <c r="W305">
        <v>0</v>
      </c>
      <c r="X305">
        <v>7</v>
      </c>
    </row>
    <row r="306" spans="1:24" x14ac:dyDescent="0.3">
      <c r="A306" t="s">
        <v>428</v>
      </c>
      <c r="B306">
        <v>10174</v>
      </c>
      <c r="C306" t="s">
        <v>435</v>
      </c>
      <c r="D306">
        <v>1</v>
      </c>
      <c r="E306">
        <v>5</v>
      </c>
      <c r="F306">
        <v>3</v>
      </c>
      <c r="G306">
        <v>60446</v>
      </c>
      <c r="H306">
        <v>20</v>
      </c>
      <c r="I306" t="s">
        <v>37</v>
      </c>
      <c r="J306" t="s">
        <v>24</v>
      </c>
      <c r="K306">
        <v>2302</v>
      </c>
      <c r="L306" s="3">
        <v>31082</v>
      </c>
      <c r="M306" s="5">
        <f t="shared" ca="1" si="8"/>
        <v>41</v>
      </c>
      <c r="N306" t="s">
        <v>38</v>
      </c>
      <c r="O306" t="s">
        <v>26</v>
      </c>
      <c r="P306" s="3">
        <v>41911</v>
      </c>
      <c r="Q306" s="7">
        <f t="shared" ca="1" si="9"/>
        <v>11.550684931506849</v>
      </c>
      <c r="R306" t="s">
        <v>27</v>
      </c>
      <c r="S306" t="s">
        <v>63</v>
      </c>
      <c r="T306">
        <v>14</v>
      </c>
      <c r="U306" t="s">
        <v>29</v>
      </c>
      <c r="V306">
        <v>0</v>
      </c>
      <c r="W306">
        <v>0</v>
      </c>
      <c r="X306">
        <v>14</v>
      </c>
    </row>
    <row r="307" spans="1:24" x14ac:dyDescent="0.3">
      <c r="A307" t="s">
        <v>429</v>
      </c>
      <c r="B307">
        <v>10135</v>
      </c>
      <c r="C307" t="s">
        <v>436</v>
      </c>
      <c r="D307">
        <v>1</v>
      </c>
      <c r="E307">
        <v>5</v>
      </c>
      <c r="F307">
        <v>3</v>
      </c>
      <c r="G307">
        <v>65893</v>
      </c>
      <c r="H307">
        <v>20</v>
      </c>
      <c r="I307" t="s">
        <v>37</v>
      </c>
      <c r="J307" t="s">
        <v>24</v>
      </c>
      <c r="K307">
        <v>1810</v>
      </c>
      <c r="L307" s="3">
        <v>31356</v>
      </c>
      <c r="M307" s="5">
        <f t="shared" ca="1" si="8"/>
        <v>40</v>
      </c>
      <c r="N307" t="s">
        <v>25</v>
      </c>
      <c r="O307" t="s">
        <v>26</v>
      </c>
      <c r="P307" s="3">
        <v>41827</v>
      </c>
      <c r="Q307" s="7">
        <f t="shared" ca="1" si="9"/>
        <v>11.780821917808218</v>
      </c>
      <c r="R307" t="s">
        <v>27</v>
      </c>
      <c r="S307" t="s">
        <v>39</v>
      </c>
      <c r="T307">
        <v>20</v>
      </c>
      <c r="U307" t="s">
        <v>29</v>
      </c>
      <c r="V307">
        <v>0</v>
      </c>
      <c r="W307">
        <v>0</v>
      </c>
      <c r="X307">
        <v>13</v>
      </c>
    </row>
    <row r="308" spans="1:24" x14ac:dyDescent="0.3">
      <c r="A308" t="s">
        <v>430</v>
      </c>
      <c r="B308">
        <v>10301</v>
      </c>
      <c r="C308" t="s">
        <v>435</v>
      </c>
      <c r="D308">
        <v>5</v>
      </c>
      <c r="E308">
        <v>5</v>
      </c>
      <c r="F308">
        <v>1</v>
      </c>
      <c r="G308">
        <v>48513</v>
      </c>
      <c r="H308">
        <v>19</v>
      </c>
      <c r="I308" t="s">
        <v>23</v>
      </c>
      <c r="J308" t="s">
        <v>24</v>
      </c>
      <c r="K308">
        <v>2458</v>
      </c>
      <c r="L308" s="3">
        <v>30046</v>
      </c>
      <c r="M308" s="5">
        <f t="shared" ca="1" si="8"/>
        <v>44</v>
      </c>
      <c r="N308" t="s">
        <v>38</v>
      </c>
      <c r="O308" t="s">
        <v>26</v>
      </c>
      <c r="P308" s="3">
        <v>39487</v>
      </c>
      <c r="Q308" s="7">
        <f t="shared" ca="1" si="9"/>
        <v>18.19178082191781</v>
      </c>
      <c r="R308" t="s">
        <v>27</v>
      </c>
      <c r="S308" t="s">
        <v>57</v>
      </c>
      <c r="T308">
        <v>12</v>
      </c>
      <c r="U308" t="s">
        <v>45</v>
      </c>
      <c r="V308">
        <v>0</v>
      </c>
      <c r="W308">
        <v>5</v>
      </c>
      <c r="X308">
        <v>4</v>
      </c>
    </row>
    <row r="309" spans="1:24" x14ac:dyDescent="0.3">
      <c r="A309" t="s">
        <v>431</v>
      </c>
      <c r="B309">
        <v>10010</v>
      </c>
      <c r="C309" t="s">
        <v>435</v>
      </c>
      <c r="D309">
        <v>1</v>
      </c>
      <c r="E309">
        <v>3</v>
      </c>
      <c r="F309">
        <v>4</v>
      </c>
      <c r="G309">
        <v>220450</v>
      </c>
      <c r="H309">
        <v>6</v>
      </c>
      <c r="I309" t="s">
        <v>432</v>
      </c>
      <c r="J309" t="s">
        <v>24</v>
      </c>
      <c r="K309">
        <v>2067</v>
      </c>
      <c r="L309" s="3">
        <v>28922</v>
      </c>
      <c r="M309" s="5">
        <f t="shared" ca="1" si="8"/>
        <v>47</v>
      </c>
      <c r="N309" t="s">
        <v>38</v>
      </c>
      <c r="O309" t="s">
        <v>26</v>
      </c>
      <c r="P309" s="3">
        <v>40455</v>
      </c>
      <c r="Q309" s="7">
        <f t="shared" ca="1" si="9"/>
        <v>15.53972602739726</v>
      </c>
      <c r="R309" t="s">
        <v>33</v>
      </c>
      <c r="S309" t="s">
        <v>93</v>
      </c>
      <c r="T309">
        <v>2</v>
      </c>
      <c r="U309" t="s">
        <v>55</v>
      </c>
      <c r="V309">
        <v>6</v>
      </c>
      <c r="W309">
        <v>0</v>
      </c>
      <c r="X309">
        <v>16</v>
      </c>
    </row>
    <row r="310" spans="1:24" x14ac:dyDescent="0.3">
      <c r="A310" t="s">
        <v>433</v>
      </c>
      <c r="B310">
        <v>10043</v>
      </c>
      <c r="C310" t="s">
        <v>435</v>
      </c>
      <c r="D310">
        <v>1</v>
      </c>
      <c r="E310">
        <v>3</v>
      </c>
      <c r="F310">
        <v>3</v>
      </c>
      <c r="G310">
        <v>89292</v>
      </c>
      <c r="H310">
        <v>9</v>
      </c>
      <c r="I310" t="s">
        <v>66</v>
      </c>
      <c r="J310" t="s">
        <v>24</v>
      </c>
      <c r="K310">
        <v>2148</v>
      </c>
      <c r="L310" s="3">
        <v>28947</v>
      </c>
      <c r="M310" s="5">
        <f t="shared" ca="1" si="8"/>
        <v>47</v>
      </c>
      <c r="N310" t="s">
        <v>38</v>
      </c>
      <c r="O310" t="s">
        <v>26</v>
      </c>
      <c r="P310" s="3">
        <v>42093</v>
      </c>
      <c r="Q310" s="7">
        <f t="shared" ca="1" si="9"/>
        <v>11.052054794520547</v>
      </c>
      <c r="R310" t="s">
        <v>33</v>
      </c>
      <c r="S310" t="s">
        <v>34</v>
      </c>
      <c r="T310">
        <v>4</v>
      </c>
      <c r="U310" t="s">
        <v>55</v>
      </c>
      <c r="V310">
        <v>5</v>
      </c>
      <c r="W310">
        <v>0</v>
      </c>
      <c r="X310">
        <v>11</v>
      </c>
    </row>
    <row r="311" spans="1:24" x14ac:dyDescent="0.3">
      <c r="A311" t="s">
        <v>434</v>
      </c>
      <c r="B311">
        <v>10271</v>
      </c>
      <c r="C311" t="s">
        <v>435</v>
      </c>
      <c r="D311">
        <v>1</v>
      </c>
      <c r="E311">
        <v>5</v>
      </c>
      <c r="F311">
        <v>3</v>
      </c>
      <c r="G311">
        <v>45046</v>
      </c>
      <c r="H311">
        <v>19</v>
      </c>
      <c r="I311" t="s">
        <v>23</v>
      </c>
      <c r="J311" t="s">
        <v>24</v>
      </c>
      <c r="K311">
        <v>1730</v>
      </c>
      <c r="L311" s="3">
        <v>28679</v>
      </c>
      <c r="M311" s="5">
        <f t="shared" ca="1" si="8"/>
        <v>47</v>
      </c>
      <c r="N311" t="s">
        <v>38</v>
      </c>
      <c r="O311" t="s">
        <v>53</v>
      </c>
      <c r="P311" s="3">
        <v>41911</v>
      </c>
      <c r="Q311" s="7">
        <f t="shared" ca="1" si="9"/>
        <v>11.550684931506849</v>
      </c>
      <c r="R311" t="s">
        <v>27</v>
      </c>
      <c r="S311" t="s">
        <v>63</v>
      </c>
      <c r="T311">
        <v>14</v>
      </c>
      <c r="U311" t="s">
        <v>29</v>
      </c>
      <c r="V311">
        <v>0</v>
      </c>
      <c r="W311">
        <v>0</v>
      </c>
      <c r="X311">
        <v>2</v>
      </c>
    </row>
  </sheetData>
  <autoFilter ref="A1:X311" xr:uid="{00000000-0009-0000-0000-000003000000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4EC2-B368-4BAE-957D-31B85CED407D}">
  <dimension ref="A1:B36"/>
  <sheetViews>
    <sheetView workbookViewId="0">
      <selection activeCell="A3" sqref="A3:B30"/>
    </sheetView>
  </sheetViews>
  <sheetFormatPr defaultRowHeight="14.4" x14ac:dyDescent="0.3"/>
  <cols>
    <col min="3" max="3" width="14" bestFit="1" customWidth="1"/>
  </cols>
  <sheetData>
    <row r="1" spans="1:2" x14ac:dyDescent="0.3">
      <c r="A1" t="s">
        <v>441</v>
      </c>
    </row>
    <row r="2" spans="1:2" x14ac:dyDescent="0.3">
      <c r="A2" s="10"/>
    </row>
    <row r="3" spans="1:2" x14ac:dyDescent="0.3">
      <c r="A3" s="11" t="s">
        <v>150</v>
      </c>
      <c r="B3" t="s">
        <v>444</v>
      </c>
    </row>
    <row r="4" spans="1:2" x14ac:dyDescent="0.3">
      <c r="A4" s="11" t="s">
        <v>410</v>
      </c>
      <c r="B4" t="s">
        <v>445</v>
      </c>
    </row>
    <row r="5" spans="1:2" x14ac:dyDescent="0.3">
      <c r="A5" s="11" t="s">
        <v>166</v>
      </c>
      <c r="B5" t="s">
        <v>446</v>
      </c>
    </row>
    <row r="6" spans="1:2" x14ac:dyDescent="0.3">
      <c r="A6" s="11" t="s">
        <v>251</v>
      </c>
      <c r="B6" t="s">
        <v>447</v>
      </c>
    </row>
    <row r="7" spans="1:2" x14ac:dyDescent="0.3">
      <c r="A7" s="11" t="s">
        <v>86</v>
      </c>
      <c r="B7" t="s">
        <v>448</v>
      </c>
    </row>
    <row r="8" spans="1:2" x14ac:dyDescent="0.3">
      <c r="A8" s="11" t="s">
        <v>317</v>
      </c>
      <c r="B8" t="s">
        <v>449</v>
      </c>
    </row>
    <row r="9" spans="1:2" x14ac:dyDescent="0.3">
      <c r="A9" s="11" t="s">
        <v>311</v>
      </c>
      <c r="B9" t="s">
        <v>450</v>
      </c>
    </row>
    <row r="10" spans="1:2" x14ac:dyDescent="0.3">
      <c r="A10" s="11" t="s">
        <v>343</v>
      </c>
      <c r="B10" t="s">
        <v>451</v>
      </c>
    </row>
    <row r="11" spans="1:2" x14ac:dyDescent="0.3">
      <c r="A11" s="11" t="s">
        <v>202</v>
      </c>
      <c r="B11" t="s">
        <v>452</v>
      </c>
    </row>
    <row r="12" spans="1:2" x14ac:dyDescent="0.3">
      <c r="A12" s="11" t="s">
        <v>335</v>
      </c>
      <c r="B12" t="s">
        <v>453</v>
      </c>
    </row>
    <row r="13" spans="1:2" x14ac:dyDescent="0.3">
      <c r="A13" s="11" t="s">
        <v>24</v>
      </c>
      <c r="B13" t="s">
        <v>454</v>
      </c>
    </row>
    <row r="14" spans="1:2" x14ac:dyDescent="0.3">
      <c r="A14" s="11" t="s">
        <v>414</v>
      </c>
      <c r="B14" t="s">
        <v>455</v>
      </c>
    </row>
    <row r="15" spans="1:2" x14ac:dyDescent="0.3">
      <c r="A15" s="11" t="s">
        <v>389</v>
      </c>
      <c r="B15" t="s">
        <v>456</v>
      </c>
    </row>
    <row r="16" spans="1:2" x14ac:dyDescent="0.3">
      <c r="A16" s="11" t="s">
        <v>321</v>
      </c>
      <c r="B16" t="s">
        <v>457</v>
      </c>
    </row>
    <row r="17" spans="1:2" x14ac:dyDescent="0.3">
      <c r="A17" s="11" t="s">
        <v>403</v>
      </c>
      <c r="B17" t="s">
        <v>458</v>
      </c>
    </row>
    <row r="18" spans="1:2" x14ac:dyDescent="0.3">
      <c r="A18" s="11" t="s">
        <v>225</v>
      </c>
      <c r="B18" t="s">
        <v>459</v>
      </c>
    </row>
    <row r="19" spans="1:2" x14ac:dyDescent="0.3">
      <c r="A19" s="11" t="s">
        <v>385</v>
      </c>
      <c r="B19" t="s">
        <v>460</v>
      </c>
    </row>
    <row r="20" spans="1:2" x14ac:dyDescent="0.3">
      <c r="A20" s="11" t="s">
        <v>260</v>
      </c>
      <c r="B20" t="s">
        <v>461</v>
      </c>
    </row>
    <row r="21" spans="1:2" x14ac:dyDescent="0.3">
      <c r="A21" s="11" t="s">
        <v>198</v>
      </c>
      <c r="B21" t="s">
        <v>462</v>
      </c>
    </row>
    <row r="22" spans="1:2" x14ac:dyDescent="0.3">
      <c r="A22" s="11" t="s">
        <v>398</v>
      </c>
      <c r="B22" t="s">
        <v>463</v>
      </c>
    </row>
    <row r="23" spans="1:2" x14ac:dyDescent="0.3">
      <c r="A23" s="11" t="s">
        <v>248</v>
      </c>
      <c r="B23" t="s">
        <v>464</v>
      </c>
    </row>
    <row r="24" spans="1:2" x14ac:dyDescent="0.3">
      <c r="A24" s="11" t="s">
        <v>230</v>
      </c>
      <c r="B24" t="s">
        <v>465</v>
      </c>
    </row>
    <row r="25" spans="1:2" x14ac:dyDescent="0.3">
      <c r="A25" s="11" t="s">
        <v>217</v>
      </c>
      <c r="B25" t="s">
        <v>466</v>
      </c>
    </row>
    <row r="26" spans="1:2" x14ac:dyDescent="0.3">
      <c r="A26" s="11" t="s">
        <v>67</v>
      </c>
      <c r="B26" t="s">
        <v>467</v>
      </c>
    </row>
    <row r="27" spans="1:2" x14ac:dyDescent="0.3">
      <c r="A27" s="11" t="s">
        <v>274</v>
      </c>
      <c r="B27" t="s">
        <v>468</v>
      </c>
    </row>
    <row r="28" spans="1:2" x14ac:dyDescent="0.3">
      <c r="A28" s="11" t="s">
        <v>102</v>
      </c>
      <c r="B28" t="s">
        <v>469</v>
      </c>
    </row>
    <row r="29" spans="1:2" x14ac:dyDescent="0.3">
      <c r="A29" s="11" t="s">
        <v>115</v>
      </c>
      <c r="B29" t="s">
        <v>470</v>
      </c>
    </row>
    <row r="30" spans="1:2" x14ac:dyDescent="0.3">
      <c r="A30" s="11" t="s">
        <v>158</v>
      </c>
      <c r="B30" t="s">
        <v>471</v>
      </c>
    </row>
    <row r="34" spans="1:1" x14ac:dyDescent="0.3">
      <c r="A34" t="s">
        <v>442</v>
      </c>
    </row>
    <row r="36" spans="1:1" x14ac:dyDescent="0.3">
      <c r="A3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Employees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shri.dhar</dc:creator>
  <cp:lastModifiedBy>Manish Sharma</cp:lastModifiedBy>
  <dcterms:modified xsi:type="dcterms:W3CDTF">2026-04-15T05:14:16Z</dcterms:modified>
</cp:coreProperties>
</file>